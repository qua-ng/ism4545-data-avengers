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ane\Downloads\"/>
    </mc:Choice>
  </mc:AlternateContent>
  <xr:revisionPtr revIDLastSave="0" documentId="13_ncr:1_{E3811E60-CAEA-480A-8CDE-7FA43B032489}" xr6:coauthVersionLast="47" xr6:coauthVersionMax="47" xr10:uidLastSave="{00000000-0000-0000-0000-000000000000}"/>
  <bookViews>
    <workbookView xWindow="11424" yWindow="0" windowWidth="11712" windowHeight="12336" tabRatio="500" activeTab="1" xr2:uid="{00000000-000D-0000-FFFF-FFFF00000000}"/>
  </bookViews>
  <sheets>
    <sheet name="Overview" sheetId="1" r:id="rId1"/>
    <sheet name="Daily Tasks" sheetId="2" r:id="rId2"/>
    <sheet name="Per-Person Summary" sheetId="3" r:id="rId3"/>
    <sheet name="Rubric Checklist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3" i="4" l="1"/>
  <c r="B62" i="4"/>
  <c r="D27" i="3"/>
  <c r="E27" i="3" s="1"/>
  <c r="C27" i="3"/>
  <c r="D26" i="3"/>
  <c r="E26" i="3" s="1"/>
  <c r="C26" i="3"/>
  <c r="D25" i="3"/>
  <c r="E25" i="3" s="1"/>
  <c r="C25" i="3"/>
  <c r="D24" i="3"/>
  <c r="E24" i="3" s="1"/>
  <c r="C24" i="3"/>
  <c r="D23" i="3"/>
  <c r="E23" i="3" s="1"/>
  <c r="C23" i="3"/>
  <c r="D22" i="3"/>
  <c r="E22" i="3" s="1"/>
  <c r="C22" i="3"/>
  <c r="D21" i="3"/>
  <c r="E21" i="3" s="1"/>
  <c r="C21" i="3"/>
  <c r="D20" i="3"/>
  <c r="E20" i="3" s="1"/>
  <c r="C20" i="3"/>
  <c r="D19" i="3"/>
  <c r="C19" i="3"/>
  <c r="D18" i="3"/>
  <c r="E18" i="3" s="1"/>
  <c r="C18" i="3"/>
  <c r="D17" i="3"/>
  <c r="E17" i="3" s="1"/>
  <c r="C17" i="3"/>
  <c r="D16" i="3"/>
  <c r="E16" i="3" s="1"/>
  <c r="C16" i="3"/>
  <c r="D15" i="3"/>
  <c r="E15" i="3" s="1"/>
  <c r="C15" i="3"/>
  <c r="D9" i="3"/>
  <c r="E9" i="3" s="1"/>
  <c r="C9" i="3"/>
  <c r="D8" i="3"/>
  <c r="E8" i="3" s="1"/>
  <c r="C8" i="3"/>
  <c r="D7" i="3"/>
  <c r="E7" i="3" s="1"/>
  <c r="C7" i="3"/>
  <c r="D6" i="3"/>
  <c r="E6" i="3" s="1"/>
  <c r="C6" i="3"/>
  <c r="D5" i="3"/>
  <c r="E5" i="3" s="1"/>
  <c r="C5" i="3"/>
  <c r="D4" i="3"/>
  <c r="C4" i="3"/>
  <c r="B15" i="1"/>
  <c r="B14" i="1"/>
  <c r="B16" i="1" l="1"/>
  <c r="E19" i="3"/>
  <c r="C10" i="3"/>
  <c r="D10" i="3"/>
  <c r="E4" i="3"/>
  <c r="E10" i="3" l="1"/>
</calcChain>
</file>

<file path=xl/sharedStrings.xml><?xml version="1.0" encoding="utf-8"?>
<sst xmlns="http://schemas.openxmlformats.org/spreadsheetml/2006/main" count="707" uniqueCount="270">
  <si>
    <t>MediaWave Streaming — Final Project Timeline</t>
  </si>
  <si>
    <t>ISM 6562 · Big Data for Business Applications · Project #10</t>
  </si>
  <si>
    <t>Key Dates</t>
  </si>
  <si>
    <t>Team Roles</t>
  </si>
  <si>
    <t>Day 1 (Kickoff)</t>
  </si>
  <si>
    <t>Friday, April 24, 2026</t>
  </si>
  <si>
    <t>Integration Lead + Stage 1 (HDFS)</t>
  </si>
  <si>
    <t>Has 16 GB machine. Docker + networking + HDFS.</t>
  </si>
  <si>
    <t>First integration checkpoint</t>
  </si>
  <si>
    <t>Sunday, April 26, 2026</t>
  </si>
  <si>
    <t>Stage 2 (Spark batch)</t>
  </si>
  <si>
    <t>Python/data fluency. Joins, aggregations, PySpark.</t>
  </si>
  <si>
    <t>Technical freeze target</t>
  </si>
  <si>
    <t>Friday, May 1, 2026</t>
  </si>
  <si>
    <t>Stage 3 (Kafka + Streaming)</t>
  </si>
  <si>
    <t>Distributed systems curiosity. Producer + consumer.</t>
  </si>
  <si>
    <t>Final report + slides PDF</t>
  </si>
  <si>
    <t>Monday, May 4, 2026</t>
  </si>
  <si>
    <t>Stage 4 (Airflow) + Data Quality</t>
  </si>
  <si>
    <t>Clean code, modular Python. DAGs, retries, SLAs.</t>
  </si>
  <si>
    <t>Final dry-run</t>
  </si>
  <si>
    <t>Tuesday, May 5, 2026</t>
  </si>
  <si>
    <t>PM + Writer + Presenter</t>
  </si>
  <si>
    <t>Strong English writing. Report, slides, rehearsals.</t>
  </si>
  <si>
    <t>Submission + In-class presentation</t>
  </si>
  <si>
    <t>Wednesday, May 6, 2026</t>
  </si>
  <si>
    <t>Progress Summary</t>
  </si>
  <si>
    <t>Total tasks</t>
  </si>
  <si>
    <t>Ground rules</t>
  </si>
  <si>
    <t>Tasks marked done</t>
  </si>
  <si>
    <t>• Daily 10-min standup at 9 PM</t>
  </si>
  <si>
    <t>Completion %</t>
  </si>
  <si>
    <t>• Every person commits to GitHub every day (empty commits OK)</t>
  </si>
  <si>
    <t>• Every handoff is a 15-min video call, not a text message</t>
  </si>
  <si>
    <t>• End-of-day status in group chat: green / yellow / red</t>
  </si>
  <si>
    <t>Day</t>
  </si>
  <si>
    <t>Date</t>
  </si>
  <si>
    <t>Person</t>
  </si>
  <si>
    <t>Stage/Area</t>
  </si>
  <si>
    <t>Task</t>
  </si>
  <si>
    <t>Status</t>
  </si>
  <si>
    <t>Notes</t>
  </si>
  <si>
    <t>Fri Apr 24</t>
  </si>
  <si>
    <t>TEAM</t>
  </si>
  <si>
    <t>Kickoff</t>
  </si>
  <si>
    <t>90-min kickoff call: claim Project #10 on Canvas, confirm roles, set standup time, create shared Drive</t>
  </si>
  <si>
    <t>Repo setup</t>
  </si>
  <si>
    <t>Build folder structure with .gitkeep files; README skeleton with all section headers</t>
  </si>
  <si>
    <t>Stage 1</t>
  </si>
  <si>
    <t>Copy 4 weekly docker-compose files into docker-research/</t>
  </si>
  <si>
    <t>Build conflict table: every service, port, volume, network across 4 files (DO NOT write merged file yet)</t>
  </si>
  <si>
    <t>Stage 2</t>
  </si>
  <si>
    <t>Download all 5 MediaWave files + generate_data.py</t>
  </si>
  <si>
    <t>Set up Python venv and install pyspark 3.5.0, pandas, jupyter</t>
  </si>
  <si>
    <t>Read generate_data.py end-to-end carefully (single most valuable hour)</t>
  </si>
  <si>
    <t>Add Stage 2 section to docs/design.md: columns, types, nullable fields, join keys per dataset</t>
  </si>
  <si>
    <t>Smoke test: load user-profiles.csv.gz with Spark, print schema, show 5 rows</t>
  </si>
  <si>
    <t>Stage 3</t>
  </si>
  <si>
    <t>Re-read Week 10 Kafka materials; pip install kafka-python</t>
  </si>
  <si>
    <t>Add Stage 3 section to docs/design.md: topic name, partitions, key design, retention, producer strategy</t>
  </si>
  <si>
    <t>Write producers/event_producer.py skeleton that prints fake JSON events to stdout (no Kafka yet)</t>
  </si>
  <si>
    <t>Stage 4</t>
  </si>
  <si>
    <t>Re-read Week 11 Airflow materials</t>
  </si>
  <si>
    <t>Add Stage 4 section to docs/design.md: DAG sketch, task list, dependencies, quality gate locations</t>
  </si>
  <si>
    <t>Create src/common/quality.py with 3 functions: check_row_count, check_nulls, check_unique_key; validate in notebook</t>
  </si>
  <si>
    <t>Sat Apr 25</t>
  </si>
  <si>
    <t>Start docker-compose.yml from Week 11 as base; add HDFS services on shared network mediawave-net with mem_limit</t>
  </si>
  <si>
    <t>Add Spark services (spark-master, spark-worker) from Week 9</t>
  </si>
  <si>
    <t>Boot partial stack, verify HDFS UI at :9870 and Spark UI at :8080</t>
  </si>
  <si>
    <t>Smoke test: docker exec -it namenode hdfs dfs -mkdir /test &amp;&amp; hdfs dfs -ls /</t>
  </si>
  <si>
    <t>Create src/common/schemas.py with explicit StructType for all 5 datasets</t>
  </si>
  <si>
    <t>Build notebooks/02-spark-transforms.ipynb: load each dataset with schema, show count/describe/null counts</t>
  </si>
  <si>
    <t>Draft reusable clean_and_save function (dropDuplicates + dropna + write Parquet)</t>
  </si>
  <si>
    <t>Apply cleaning to 2 simplest datasets (user-profiles, streaming-quality) → local ./curated/</t>
  </si>
  <si>
    <t>Expand event_producer.py: read viewing-history.csv.gz, sort by timestamp, publish JSON to user-viewing-events</t>
  </si>
  <si>
    <t>Verify via kafka-console-consumer; ~50 events/sec flowing</t>
  </si>
  <si>
    <t>Install Airflow locally or via light Docker container</t>
  </si>
  <si>
    <t>dags/batch_pipeline.py with 5 placeholder BashOperator tasks: ingest, validate, clean, join, aggregate</t>
  </si>
  <si>
    <t>Config: schedule_interval=@daily, catchup=False, retries=2, retry_delay=5min; verify one successful run</t>
  </si>
  <si>
    <t>Report</t>
  </si>
  <si>
    <t>First architecture diagram v1 → docs/architecture-diagram.png</t>
  </si>
  <si>
    <t>Draft report sections 1 (Executive Summary) and 2 (Architecture Design)</t>
  </si>
  <si>
    <t>Sun Apr 26</t>
  </si>
  <si>
    <t>Add Kafka (zookeeper + kafka) from Week 10 to docker-compose</t>
  </si>
  <si>
    <t>Add Airflow (postgres + airflow) from Week 11 to docker-compose</t>
  </si>
  <si>
    <t>Add profiles: ['full'] tags on Kafka + Airflow for lightweight mode</t>
  </si>
  <si>
    <t>Create HDFS zones: /landing/{5 subfolders}, /curated, /analytics; load all 5 raw files via hdfs dfs -put</t>
  </si>
  <si>
    <t>NOON HANDOFF: 15-min call with B to walk through reading HDFS from Spark container</t>
  </si>
  <si>
    <t>Afternoon: draft README setup instructions</t>
  </si>
  <si>
    <t>Update src/common/config.py: LANDING = hdfs://namenode:9000/landing, etc.</t>
  </si>
  <si>
    <t>Move notebook into Spark container environment; run Day 2 code against HDFS paths (should work unchanged)</t>
  </si>
  <si>
    <t>Clean remaining 3 datasets: viewing-history, content-catalog (JSON), user-interactions (JSON)</t>
  </si>
  <si>
    <t>Verify all 5 curated Parquet files readable via spark.read.parquet; commit to src/transforms/</t>
  </si>
  <si>
    <t>Write src/streaming/consumer.py: Structured Streaming reads user-viewing-events, parses JSON, writes to console</t>
  </si>
  <si>
    <t>Add windowed aggregation: count of play events per 1-min tumbling window per content_id</t>
  </si>
  <si>
    <t>Verify end-to-end flow: producer → Kafka → consumer with aggregation</t>
  </si>
  <si>
    <t>Replace placeholders with SparkSubmitOperator or spark-submit-via-BashOperator</t>
  </si>
  <si>
    <t>Wire ingest, validate, clean tasks to real logic; allow 1-2h for Airflow↔Spark networking debugging</t>
  </si>
  <si>
    <t>Update architecture diagram to reflect what A actually built</t>
  </si>
  <si>
    <t>Start collecting screenshots: HDFS UI with files, Spark UI with workers, Airflow DAG</t>
  </si>
  <si>
    <t>Mon Apr 27</t>
  </si>
  <si>
    <t>Infra</t>
  </si>
  <si>
    <t>Stress test: docker compose down -v &amp;&amp; docker compose --profile full up -d; confirm cold-boot works</t>
  </si>
  <si>
    <t>Write lightweight mode section of README with explicit commands; on-call for B/C/D debugging</t>
  </si>
  <si>
    <t>join_enrich.py: Join 1 viewing-history ⨝ content-catalog on content_id</t>
  </si>
  <si>
    <t>Join 2 viewing-history ⨝ user-profiles on user_id</t>
  </si>
  <si>
    <t>Join 3 viewing-history ⨝ streaming-quality on session key</t>
  </si>
  <si>
    <t>aggregate_business.py Agg 1: top content by genre per week → /analytics/top_content_by_genre/ (partitioned by week)</t>
  </si>
  <si>
    <t>Agg 2: completion rate by subscription tier → /analytics/completion_by_tier/</t>
  </si>
  <si>
    <t>Write Lambda vs Kappa justification in docs/design.md (Lambda fits MediaWave)</t>
  </si>
  <si>
    <t>Enrich single streaming consumer: multiple aggregations in same job (top content + unique viewers + avg completion)</t>
  </si>
  <si>
    <t>Implement real quality gate between clean and join: read curated Parquet, run check_nulls + check_row_count, raise AirflowFailException on fail</t>
  </si>
  <si>
    <t>Wire join and aggregate tasks to B's scripts; run full DAG end-to-end and screenshot green run</t>
  </si>
  <si>
    <t>Draft Section 3 (Implementation): Kafka topic design, Airflow DAG structure, data quality strategy</t>
  </si>
  <si>
    <t>Slides</t>
  </si>
  <si>
    <t>Take high-quality screenshots → presentation/screenshots/; create slides.pptx with slides 1-5 (title, agenda, team, problem, architecture)</t>
  </si>
  <si>
    <t>Tue Apr 28</t>
  </si>
  <si>
    <t>Pin all image versions in docker-compose (no :latest)</t>
  </si>
  <si>
    <t>Write detailed README setup instructions; test on fresh clone</t>
  </si>
  <si>
    <t>Final docs/architecture-diagram.png polish</t>
  </si>
  <si>
    <t>Agg 3: quality impact on completion → /analytics/quality_impact/</t>
  </si>
  <si>
    <t>Agg 4: DAU by week + cohort retention → /analytics/dau_retention/ (partitioned by week)</t>
  </si>
  <si>
    <t>notebooks/04-exploration.ipynb: load each analytics Parquet, produce 4-5 matplotlib plots (one per business question); hand to E</t>
  </si>
  <si>
    <t>Write src/transforms/README.md listing each analytics table, schema, business question answered</t>
  </si>
  <si>
    <t>Add checkpointing to streaming consumer (required for fault tolerance)</t>
  </si>
  <si>
    <t>Fault test: kill consumer mid-run, restart, verify resume without duplication</t>
  </si>
  <si>
    <t>Write src/streaming/README.md: topics, partitioning rationale, windowing choices</t>
  </si>
  <si>
    <t>Test idempotency: run batch DAG twice, confirm /curated/ and /analytics/ identical (use .mode('overwrite'))</t>
  </si>
  <si>
    <t>Add sla=timedelta(hours=2) to critical tasks; configure retries with exponential backoff</t>
  </si>
  <si>
    <t>Set email_on_failure=True, email=... in default_args (satisfies failure alerting in one line)</t>
  </si>
  <si>
    <t>dags/streaming_monitor.py: runs every 15 min, checks Kafka topic lag and consumer health</t>
  </si>
  <si>
    <t>Draft Section 4 (Business Insights) using B's plots; one paragraph per business question with specific numbers</t>
  </si>
  <si>
    <t>Slides 6-15: architecture, stage-by-stage walkthrough with screenshots</t>
  </si>
  <si>
    <t>Start Section 5 (Scalability) — gather specific numbers from A (infra), C (Kafka), D (Airflow)</t>
  </si>
  <si>
    <t>Wed Apr 29</t>
  </si>
  <si>
    <t>Fresh-machine test: docker compose down -v, follow own README as if grader; time each step, fix unclear parts</t>
  </si>
  <si>
    <t>Ask Person E to clone and run setup — any issue E hits = README bug</t>
  </si>
  <si>
    <t>Add partitioning to remaining large aggregations (.write.partitionBy('week').parquet(...))</t>
  </si>
  <si>
    <t>Clear docstrings on every Spark script</t>
  </si>
  <si>
    <t>Demo</t>
  </si>
  <si>
    <t>Short screen capture 2-3 min: run a Spark job, show Parquet output, Spark SQL query showing a business finding</t>
  </si>
  <si>
    <t>Short screen capture 2-3 min: start producer → events in console → Structured Streaming aggregates updating</t>
  </si>
  <si>
    <t>Final Lambda/Kappa writeup polished</t>
  </si>
  <si>
    <t>Short screen capture 2-3 min: Airflow UI, trigger batch DAG, tasks going green, quality gate failing on injected bad data, retry behavior</t>
  </si>
  <si>
    <t>Full pass through report sections 1-5; target 7-8 pages</t>
  </si>
  <si>
    <t>Finalize all slides (20-25 for 10-12 min = ~30 sec/slide)</t>
  </si>
  <si>
    <t>Presentation</t>
  </si>
  <si>
    <t>Assign presentation sections: each person presents their stage (~2 min each = 10 min + intro + closing)</t>
  </si>
  <si>
    <t>Thu Apr 30</t>
  </si>
  <si>
    <t>Review</t>
  </si>
  <si>
    <t>Cross-review day: code review, report review, slide review; honest feedback</t>
  </si>
  <si>
    <t>Final docker compose up -d test; tag release v0.9-rc</t>
  </si>
  <si>
    <t>Redo any weak aggregation; improve visualizations</t>
  </si>
  <si>
    <t>Polish streaming docs</t>
  </si>
  <si>
    <t>Polish DAG documentation</t>
  </si>
  <si>
    <t>Full dry-run of presentation live on video call; time it; cut to ≤12 min</t>
  </si>
  <si>
    <t>Prepare 3-4 Q&amp;A answers (schema evolution, Parquet vs Avro, 3AM failure, late-arriving events)</t>
  </si>
  <si>
    <t>Fri May 1</t>
  </si>
  <si>
    <t>Integration</t>
  </si>
  <si>
    <t>Morning 2h team call: everyone watches A run compose up, D trigger DAG, C stream demo; find bugs, fix immediately</t>
  </si>
  <si>
    <t>Final docker-compose polish; tag v1.0-submission-candidate; add Known Issues to README if needed</t>
  </si>
  <si>
    <t>Final Spark script polish; all scripts commented, all outputs documented</t>
  </si>
  <si>
    <t>Final streaming docs; Kafka topic justification finalized</t>
  </si>
  <si>
    <t>Final DAG polish; airflow dags test passes; monitoring DAG confirmed running</t>
  </si>
  <si>
    <t>Report final pass</t>
  </si>
  <si>
    <t>Slides final pass</t>
  </si>
  <si>
    <t>Rehearsal</t>
  </si>
  <si>
    <t>Second full presentation dry-run</t>
  </si>
  <si>
    <t>Sat May 2</t>
  </si>
  <si>
    <t>Each person reviews full report; red-pen feedback to E</t>
  </si>
  <si>
    <t>Sun May 3</t>
  </si>
  <si>
    <t>Incorporate feedback; third full presentation rehearsal</t>
  </si>
  <si>
    <t>Mon May 4</t>
  </si>
  <si>
    <t>Submit</t>
  </si>
  <si>
    <t>Final report PDF exported</t>
  </si>
  <si>
    <t>Final slides PDF exported; commit both</t>
  </si>
  <si>
    <t>Tue May 5</t>
  </si>
  <si>
    <t>Final dry-run, ideally on actual presentation room equipment</t>
  </si>
  <si>
    <t>Wed May 6</t>
  </si>
  <si>
    <t>Final commit; confirm prof-tcsmith has repo access; submit</t>
  </si>
  <si>
    <t>In-class presentation (Week 12 schedule)</t>
  </si>
  <si>
    <t>Task Counts by Person</t>
  </si>
  <si>
    <t>Role</t>
  </si>
  <si>
    <t>Total Tasks</t>
  </si>
  <si>
    <t>Done</t>
  </si>
  <si>
    <t>Progress %</t>
  </si>
  <si>
    <t>Team-wide tasks</t>
  </si>
  <si>
    <t>TOTAL</t>
  </si>
  <si>
    <t>Task Counts by Day</t>
  </si>
  <si>
    <t>Total</t>
  </si>
  <si>
    <t>Rubric Coverage Checklist</t>
  </si>
  <si>
    <t>Confirm ALL of these exist before submission. Check off as each is verified.</t>
  </si>
  <si>
    <t>Category</t>
  </si>
  <si>
    <t>Requirement</t>
  </si>
  <si>
    <t>Verified By</t>
  </si>
  <si>
    <t>Minimum</t>
  </si>
  <si>
    <t>3+ data sources loaded into HDFS (you have 5)</t>
  </si>
  <si>
    <t>2+ Spark joins across different sources (you have 3)</t>
  </si>
  <si>
    <t>1+ Kafka topic with producer + Structured Streaming consumer</t>
  </si>
  <si>
    <t>1+ windowed aggregation in streaming</t>
  </si>
  <si>
    <t>1+ Airflow DAG with 4+ tasks and dependencies</t>
  </si>
  <si>
    <t>1+ data quality gate in Airflow</t>
  </si>
  <si>
    <t>Working docker-compose.yml (docker compose up -d)</t>
  </si>
  <si>
    <t>Pipeline is idempotent (run twice, same result)</t>
  </si>
  <si>
    <t>Stage 1 (8 pts)</t>
  </si>
  <si>
    <t>Proper HDFS zone design (landing/curated/analytics)</t>
  </si>
  <si>
    <t>File format choices justified per dataset</t>
  </si>
  <si>
    <t>Replication strategy documented (one paragraph)</t>
  </si>
  <si>
    <t>Data loaded correctly into all zones</t>
  </si>
  <si>
    <t>Stage 2 (10 pts)</t>
  </si>
  <si>
    <t>Data cleaning applied (nulls, types, dedup)</t>
  </si>
  <si>
    <t>2+ joins across different data sources</t>
  </si>
  <si>
    <t>Meaningful aggregations answering business questions</t>
  </si>
  <si>
    <t>Parquet output with appropriate partitioning</t>
  </si>
  <si>
    <t>Stage 3 (10 pts)</t>
  </si>
  <si>
    <t>Kafka topic design with rationale documented</t>
  </si>
  <si>
    <t>Working producer simulating real-time events</t>
  </si>
  <si>
    <t>Structured Streaming consumer</t>
  </si>
  <si>
    <t>Windowed aggregations or alerts</t>
  </si>
  <si>
    <t>Lambda/Kappa decision justified</t>
  </si>
  <si>
    <t>Stage 4 (8 pts)</t>
  </si>
  <si>
    <t>Scheduled DAG with 4+ tasks</t>
  </si>
  <si>
    <t>Quality gate between pipeline stages</t>
  </si>
  <si>
    <t>Retry logic configured</t>
  </si>
  <si>
    <t>Idempotent pipeline verified</t>
  </si>
  <si>
    <t>Monitoring/health-check DAG for streaming</t>
  </si>
  <si>
    <t>Code &amp; Docker (4 pts)</t>
  </si>
  <si>
    <t>Clean, readable code with meaningful comments</t>
  </si>
  <si>
    <t>Working docker-compose.yml (reproducible)</t>
  </si>
  <si>
    <t>Lightweight mode documented (Docker profiles)</t>
  </si>
  <si>
    <t>Report (20 pts)</t>
  </si>
  <si>
    <t>Executive Summary (1 page)</t>
  </si>
  <si>
    <t>Architecture Design (2 pages) with diagram</t>
  </si>
  <si>
    <t>Implementation (2-3 pages) including quality strategy</t>
  </si>
  <si>
    <t>Business Insights (1-2 pages) with specific numbers</t>
  </si>
  <si>
    <t>Scalability Discussion (1 page) with specific numbers</t>
  </si>
  <si>
    <t>Total length 6-10 pages as PDF</t>
  </si>
  <si>
    <t>Presentation (25 pts)</t>
  </si>
  <si>
    <t>Slide deck PDF committed to repo</t>
  </si>
  <si>
    <t>10-12 min timing verified in rehearsal</t>
  </si>
  <si>
    <t>All team members speak substantively</t>
  </si>
  <si>
    <t>Business-problem-first framing</t>
  </si>
  <si>
    <t>Demo screenshots/videos ready (no live Docker)</t>
  </si>
  <si>
    <t>GitHub (5 pts)</t>
  </si>
  <si>
    <t>Meaningful commit history (daily, not bulk upload)</t>
  </si>
  <si>
    <t>Multiple team members contributing (visible)</t>
  </si>
  <si>
    <t>Clear README with setup instructions</t>
  </si>
  <si>
    <t>Organized directory structure</t>
  </si>
  <si>
    <t>prof-tcsmith has repo access</t>
  </si>
  <si>
    <t>README</t>
  </si>
  <si>
    <t>Team member names listed</t>
  </si>
  <si>
    <t>Project scenario summary</t>
  </si>
  <si>
    <t>Architecture overview with diagram reference</t>
  </si>
  <si>
    <t>Step-by-step setup instructions</t>
  </si>
  <si>
    <t>Description of data sources with download link</t>
  </si>
  <si>
    <t>Summary of key findings</t>
  </si>
  <si>
    <t>Creativity (10 pts)</t>
  </si>
  <si>
    <t>Above-minimum technical work done</t>
  </si>
  <si>
    <t>Insightful business analysis with specific numbers</t>
  </si>
  <si>
    <t>Scalability with specific numbers (not vague)</t>
  </si>
  <si>
    <t>Tech decisions connected to business value</t>
  </si>
  <si>
    <t>Rubric items verified:</t>
  </si>
  <si>
    <t>Completion %:</t>
  </si>
  <si>
    <t>Thu Apr 23</t>
  </si>
  <si>
    <t>Juan</t>
  </si>
  <si>
    <t>Yusuke</t>
  </si>
  <si>
    <t>Quang</t>
  </si>
  <si>
    <t>Alex</t>
  </si>
  <si>
    <t>Helen</t>
  </si>
  <si>
    <t>PM + Writer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</si>
</sst>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charset val="1"/>
    </font>
    <font>
      <b/>
      <sz val="16"/>
      <color rgb="FF1F3A5F"/>
      <name val="Arial"/>
      <charset val="1"/>
    </font>
    <font>
      <i/>
      <sz val="11"/>
      <color rgb="FF595959"/>
      <name val="Arial"/>
      <charset val="1"/>
    </font>
    <font>
      <b/>
      <sz val="11"/>
      <color rgb="FF1F3A5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b/>
      <sz val="14"/>
      <color rgb="FF1F3A5F"/>
      <name val="Arial"/>
      <charset val="1"/>
    </font>
    <font>
      <i/>
      <sz val="10"/>
      <color rgb="FF595959"/>
      <name val="Arial"/>
      <charset val="1"/>
    </font>
    <font>
      <sz val="10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9E2F3"/>
        <bgColor rgb="FFE8F1FF"/>
      </patternFill>
    </fill>
    <fill>
      <patternFill patternType="solid">
        <fgColor rgb="FFE8F1FF"/>
        <bgColor rgb="FFF3E8FF"/>
      </patternFill>
    </fill>
    <fill>
      <patternFill patternType="solid">
        <fgColor rgb="FFE8F8E8"/>
        <bgColor rgb="FFE8F1FF"/>
      </patternFill>
    </fill>
    <fill>
      <patternFill patternType="solid">
        <fgColor rgb="FFFFF4E0"/>
        <bgColor rgb="FFFFF9C4"/>
      </patternFill>
    </fill>
    <fill>
      <patternFill patternType="solid">
        <fgColor rgb="FFF3E8FF"/>
        <bgColor rgb="FFFFE8EC"/>
      </patternFill>
    </fill>
    <fill>
      <patternFill patternType="solid">
        <fgColor rgb="FFFFE8EC"/>
        <bgColor rgb="FFF3E8FF"/>
      </patternFill>
    </fill>
    <fill>
      <patternFill patternType="solid">
        <fgColor rgb="FF1F3A5F"/>
        <bgColor rgb="FF333333"/>
      </patternFill>
    </fill>
    <fill>
      <patternFill patternType="solid">
        <fgColor rgb="FFFFF9C4"/>
        <bgColor rgb="FFFFF4E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5" fillId="0" borderId="0" xfId="0" applyFont="1"/>
    <xf numFmtId="0" fontId="4" fillId="0" borderId="0" xfId="0" applyFont="1"/>
    <xf numFmtId="0" fontId="6" fillId="0" borderId="0" xfId="0" applyFont="1" applyAlignment="1">
      <alignment vertical="top" wrapText="1"/>
    </xf>
    <xf numFmtId="164" fontId="5" fillId="0" borderId="0" xfId="0" applyNumberFormat="1" applyFont="1"/>
    <xf numFmtId="0" fontId="7" fillId="8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4" fillId="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5" fillId="0" borderId="1" xfId="0" applyNumberFormat="1" applyFont="1" applyBorder="1"/>
    <xf numFmtId="0" fontId="4" fillId="2" borderId="1" xfId="0" applyFont="1" applyFill="1" applyBorder="1"/>
    <xf numFmtId="0" fontId="0" fillId="2" borderId="1" xfId="0" applyFill="1" applyBorder="1"/>
    <xf numFmtId="164" fontId="4" fillId="2" borderId="1" xfId="0" applyNumberFormat="1" applyFont="1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0" fillId="0" borderId="1" xfId="0" applyBorder="1"/>
    <xf numFmtId="164" fontId="4" fillId="0" borderId="0" xfId="0" applyNumberFormat="1" applyFont="1"/>
    <xf numFmtId="0" fontId="10" fillId="0" borderId="1" xfId="0" applyFont="1" applyBorder="1" applyAlignment="1">
      <alignment horizontal="center" vertical="center" wrapText="1"/>
    </xf>
    <xf numFmtId="0" fontId="11" fillId="3" borderId="0" xfId="0" applyFont="1" applyFill="1"/>
    <xf numFmtId="0" fontId="11" fillId="4" borderId="0" xfId="0" applyFont="1" applyFill="1"/>
    <xf numFmtId="0" fontId="11" fillId="5" borderId="0" xfId="0" applyFont="1" applyFill="1"/>
    <xf numFmtId="0" fontId="11" fillId="6" borderId="0" xfId="0" applyFont="1" applyFill="1"/>
    <xf numFmtId="0" fontId="11" fillId="7" borderId="0" xfId="0" applyFont="1" applyFill="1"/>
    <xf numFmtId="0" fontId="10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5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2"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E8F8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1FF"/>
      <rgbColor rgb="FFC6EFCE"/>
      <rgbColor rgb="FFFFF4E0"/>
      <rgbColor rgb="FFF3E8FF"/>
      <rgbColor rgb="FFFF99CC"/>
      <rgbColor rgb="FFCC99FF"/>
      <rgbColor rgb="FFFFE8E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zoomScale="140" zoomScaleNormal="100" workbookViewId="0">
      <selection activeCell="D15" sqref="D15:F15"/>
    </sheetView>
  </sheetViews>
  <sheetFormatPr defaultColWidth="8.6640625" defaultRowHeight="14.4" x14ac:dyDescent="0.3"/>
  <cols>
    <col min="1" max="1" width="30" customWidth="1"/>
    <col min="2" max="2" width="28" customWidth="1"/>
    <col min="3" max="3" width="2" customWidth="1"/>
    <col min="4" max="4" width="14" customWidth="1"/>
    <col min="5" max="5" width="34" customWidth="1"/>
    <col min="6" max="6" width="42" customWidth="1"/>
  </cols>
  <sheetData>
    <row r="1" spans="1:6" ht="27.75" customHeight="1" x14ac:dyDescent="0.4">
      <c r="A1" s="36" t="s">
        <v>0</v>
      </c>
      <c r="B1" s="36"/>
      <c r="C1" s="36"/>
      <c r="D1" s="36"/>
      <c r="E1" s="36"/>
      <c r="F1" s="36"/>
    </row>
    <row r="2" spans="1:6" ht="19.5" customHeight="1" x14ac:dyDescent="0.3">
      <c r="A2" s="37" t="s">
        <v>1</v>
      </c>
      <c r="B2" s="37"/>
      <c r="C2" s="37"/>
      <c r="D2" s="37"/>
      <c r="E2" s="37"/>
      <c r="F2" s="37"/>
    </row>
    <row r="3" spans="1:6" ht="19.5" customHeight="1" x14ac:dyDescent="0.3"/>
    <row r="4" spans="1:6" ht="19.5" customHeight="1" x14ac:dyDescent="0.3">
      <c r="A4" s="38" t="s">
        <v>2</v>
      </c>
      <c r="B4" s="38"/>
      <c r="D4" s="38" t="s">
        <v>3</v>
      </c>
      <c r="E4" s="38"/>
      <c r="F4" s="38"/>
    </row>
    <row r="5" spans="1:6" ht="19.5" customHeight="1" x14ac:dyDescent="0.3">
      <c r="A5" s="2" t="s">
        <v>4</v>
      </c>
      <c r="B5" s="1" t="s">
        <v>5</v>
      </c>
      <c r="D5" s="24" t="s">
        <v>264</v>
      </c>
      <c r="E5" s="1" t="s">
        <v>6</v>
      </c>
      <c r="F5" s="3" t="s">
        <v>7</v>
      </c>
    </row>
    <row r="6" spans="1:6" ht="19.5" customHeight="1" x14ac:dyDescent="0.3">
      <c r="A6" s="2" t="s">
        <v>8</v>
      </c>
      <c r="B6" s="1" t="s">
        <v>9</v>
      </c>
      <c r="D6" s="25" t="s">
        <v>265</v>
      </c>
      <c r="E6" s="1" t="s">
        <v>10</v>
      </c>
      <c r="F6" s="3" t="s">
        <v>11</v>
      </c>
    </row>
    <row r="7" spans="1:6" ht="19.5" customHeight="1" x14ac:dyDescent="0.3">
      <c r="A7" s="2" t="s">
        <v>12</v>
      </c>
      <c r="B7" s="1" t="s">
        <v>13</v>
      </c>
      <c r="D7" s="26" t="s">
        <v>266</v>
      </c>
      <c r="E7" s="1" t="s">
        <v>14</v>
      </c>
      <c r="F7" s="3" t="s">
        <v>15</v>
      </c>
    </row>
    <row r="8" spans="1:6" ht="19.5" customHeight="1" x14ac:dyDescent="0.3">
      <c r="A8" s="2" t="s">
        <v>16</v>
      </c>
      <c r="B8" s="1" t="s">
        <v>17</v>
      </c>
      <c r="D8" s="27" t="s">
        <v>267</v>
      </c>
      <c r="E8" s="1" t="s">
        <v>18</v>
      </c>
      <c r="F8" s="3" t="s">
        <v>19</v>
      </c>
    </row>
    <row r="9" spans="1:6" ht="19.5" customHeight="1" x14ac:dyDescent="0.3">
      <c r="A9" s="2" t="s">
        <v>20</v>
      </c>
      <c r="B9" s="1" t="s">
        <v>21</v>
      </c>
      <c r="D9" s="28" t="s">
        <v>268</v>
      </c>
      <c r="E9" s="29" t="s">
        <v>269</v>
      </c>
      <c r="F9" s="3" t="s">
        <v>23</v>
      </c>
    </row>
    <row r="10" spans="1:6" ht="19.5" customHeight="1" x14ac:dyDescent="0.3">
      <c r="A10" s="2" t="s">
        <v>24</v>
      </c>
      <c r="B10" s="1" t="s">
        <v>25</v>
      </c>
    </row>
    <row r="11" spans="1:6" ht="19.5" customHeight="1" x14ac:dyDescent="0.3"/>
    <row r="12" spans="1:6" ht="19.5" customHeight="1" x14ac:dyDescent="0.3"/>
    <row r="13" spans="1:6" ht="19.5" customHeight="1" x14ac:dyDescent="0.3">
      <c r="A13" s="38" t="s">
        <v>26</v>
      </c>
      <c r="B13" s="38"/>
      <c r="C13" s="38"/>
      <c r="D13" s="38"/>
      <c r="E13" s="38"/>
      <c r="F13" s="38"/>
    </row>
    <row r="14" spans="1:6" ht="19.5" customHeight="1" x14ac:dyDescent="0.3">
      <c r="A14" s="2" t="s">
        <v>27</v>
      </c>
      <c r="B14" s="1">
        <f>COUNTA('Daily Tasks'!D:D)-1</f>
        <v>110</v>
      </c>
      <c r="D14" s="2" t="s">
        <v>28</v>
      </c>
    </row>
    <row r="15" spans="1:6" ht="19.5" customHeight="1" x14ac:dyDescent="0.3">
      <c r="A15" s="2" t="s">
        <v>29</v>
      </c>
      <c r="B15" s="1">
        <f>COUNTIF('Daily Tasks'!F:F,"Done")</f>
        <v>9</v>
      </c>
      <c r="D15" s="35" t="s">
        <v>30</v>
      </c>
      <c r="E15" s="35"/>
      <c r="F15" s="35"/>
    </row>
    <row r="16" spans="1:6" ht="19.5" customHeight="1" x14ac:dyDescent="0.3">
      <c r="A16" s="2" t="s">
        <v>31</v>
      </c>
      <c r="B16" s="4">
        <f>IFERROR(B15/B14,0)</f>
        <v>8.1818181818181818E-2</v>
      </c>
      <c r="D16" s="35" t="s">
        <v>32</v>
      </c>
      <c r="E16" s="35"/>
      <c r="F16" s="35"/>
    </row>
    <row r="17" spans="4:6" ht="19.5" customHeight="1" x14ac:dyDescent="0.3">
      <c r="D17" s="35" t="s">
        <v>33</v>
      </c>
      <c r="E17" s="35"/>
      <c r="F17" s="35"/>
    </row>
    <row r="18" spans="4:6" ht="19.5" customHeight="1" x14ac:dyDescent="0.3">
      <c r="D18" s="35" t="s">
        <v>34</v>
      </c>
      <c r="E18" s="35"/>
      <c r="F18" s="35"/>
    </row>
    <row r="19" spans="4:6" ht="19.5" customHeight="1" x14ac:dyDescent="0.3"/>
  </sheetData>
  <mergeCells count="9">
    <mergeCell ref="D15:F15"/>
    <mergeCell ref="D16:F16"/>
    <mergeCell ref="D17:F17"/>
    <mergeCell ref="D18:F18"/>
    <mergeCell ref="A1:F1"/>
    <mergeCell ref="A2:F2"/>
    <mergeCell ref="A4:B4"/>
    <mergeCell ref="D4:F4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1"/>
  <sheetViews>
    <sheetView tabSelected="1" zoomScale="134" zoomScaleNormal="100" workbookViewId="0">
      <pane xSplit="4" ySplit="1" topLeftCell="E58" activePane="bottomRight" state="frozen"/>
      <selection pane="topRight" activeCell="E1" sqref="E1"/>
      <selection pane="bottomLeft" activeCell="A2" sqref="A2"/>
      <selection pane="bottomRight" activeCell="F35" sqref="F35"/>
    </sheetView>
  </sheetViews>
  <sheetFormatPr defaultColWidth="8.6640625" defaultRowHeight="14.4" x14ac:dyDescent="0.3"/>
  <cols>
    <col min="1" max="1" width="6" customWidth="1"/>
    <col min="2" max="2" width="12" customWidth="1"/>
    <col min="3" max="3" width="8" customWidth="1"/>
    <col min="4" max="4" width="14" customWidth="1"/>
    <col min="5" max="5" width="75" customWidth="1"/>
    <col min="6" max="6" width="12" customWidth="1"/>
    <col min="7" max="7" width="28" customWidth="1"/>
  </cols>
  <sheetData>
    <row r="1" spans="1:7" ht="25.5" customHeight="1" x14ac:dyDescent="0.3">
      <c r="A1" s="5" t="s">
        <v>35</v>
      </c>
      <c r="B1" s="5" t="s">
        <v>36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</row>
    <row r="2" spans="1:7" ht="33.75" customHeight="1" x14ac:dyDescent="0.3">
      <c r="A2" s="6">
        <v>1</v>
      </c>
      <c r="B2" s="23" t="s">
        <v>263</v>
      </c>
      <c r="C2" s="7" t="s">
        <v>43</v>
      </c>
      <c r="D2" s="8" t="s">
        <v>44</v>
      </c>
      <c r="E2" s="8" t="s">
        <v>45</v>
      </c>
      <c r="F2" s="8"/>
      <c r="G2" s="8"/>
    </row>
    <row r="3" spans="1:7" ht="33.75" customHeight="1" x14ac:dyDescent="0.3">
      <c r="A3" s="6">
        <v>1</v>
      </c>
      <c r="B3" s="6" t="s">
        <v>42</v>
      </c>
      <c r="C3" s="9" t="s">
        <v>268</v>
      </c>
      <c r="D3" s="8" t="s">
        <v>46</v>
      </c>
      <c r="E3" s="8" t="s">
        <v>47</v>
      </c>
      <c r="F3" s="8"/>
      <c r="G3" s="8"/>
    </row>
    <row r="4" spans="1:7" ht="33.75" customHeight="1" x14ac:dyDescent="0.3">
      <c r="A4" s="6">
        <v>1</v>
      </c>
      <c r="B4" s="6" t="s">
        <v>42</v>
      </c>
      <c r="C4" s="10" t="s">
        <v>264</v>
      </c>
      <c r="D4" s="8" t="s">
        <v>48</v>
      </c>
      <c r="E4" s="8" t="s">
        <v>49</v>
      </c>
      <c r="F4" s="8" t="s">
        <v>184</v>
      </c>
      <c r="G4" s="8"/>
    </row>
    <row r="5" spans="1:7" ht="33.75" customHeight="1" x14ac:dyDescent="0.3">
      <c r="A5" s="6">
        <v>1</v>
      </c>
      <c r="B5" s="6" t="s">
        <v>42</v>
      </c>
      <c r="C5" s="10" t="s">
        <v>264</v>
      </c>
      <c r="D5" s="8" t="s">
        <v>48</v>
      </c>
      <c r="E5" s="8" t="s">
        <v>50</v>
      </c>
      <c r="F5" s="8" t="s">
        <v>184</v>
      </c>
      <c r="G5" s="8"/>
    </row>
    <row r="6" spans="1:7" ht="33.75" customHeight="1" x14ac:dyDescent="0.3">
      <c r="A6" s="6">
        <v>1</v>
      </c>
      <c r="B6" s="6" t="s">
        <v>42</v>
      </c>
      <c r="C6" s="11" t="s">
        <v>265</v>
      </c>
      <c r="D6" s="8" t="s">
        <v>51</v>
      </c>
      <c r="E6" s="8" t="s">
        <v>52</v>
      </c>
      <c r="F6" s="8"/>
      <c r="G6" s="8"/>
    </row>
    <row r="7" spans="1:7" ht="33.75" customHeight="1" x14ac:dyDescent="0.3">
      <c r="A7" s="6">
        <v>1</v>
      </c>
      <c r="B7" s="6" t="s">
        <v>42</v>
      </c>
      <c r="C7" s="11" t="s">
        <v>265</v>
      </c>
      <c r="D7" s="8" t="s">
        <v>51</v>
      </c>
      <c r="E7" s="8" t="s">
        <v>53</v>
      </c>
      <c r="F7" s="8"/>
      <c r="G7" s="8"/>
    </row>
    <row r="8" spans="1:7" ht="33.75" customHeight="1" x14ac:dyDescent="0.3">
      <c r="A8" s="6">
        <v>1</v>
      </c>
      <c r="B8" s="6" t="s">
        <v>42</v>
      </c>
      <c r="C8" s="11" t="s">
        <v>265</v>
      </c>
      <c r="D8" s="8" t="s">
        <v>51</v>
      </c>
      <c r="E8" s="8" t="s">
        <v>54</v>
      </c>
      <c r="F8" s="8"/>
      <c r="G8" s="8"/>
    </row>
    <row r="9" spans="1:7" ht="33.75" customHeight="1" x14ac:dyDescent="0.3">
      <c r="A9" s="6">
        <v>1</v>
      </c>
      <c r="B9" s="6" t="s">
        <v>42</v>
      </c>
      <c r="C9" s="11" t="s">
        <v>265</v>
      </c>
      <c r="D9" s="8" t="s">
        <v>51</v>
      </c>
      <c r="E9" s="8" t="s">
        <v>55</v>
      </c>
      <c r="F9" s="8"/>
      <c r="G9" s="8"/>
    </row>
    <row r="10" spans="1:7" ht="33.75" customHeight="1" x14ac:dyDescent="0.3">
      <c r="A10" s="6">
        <v>1</v>
      </c>
      <c r="B10" s="6" t="s">
        <v>42</v>
      </c>
      <c r="C10" s="11" t="s">
        <v>265</v>
      </c>
      <c r="D10" s="8" t="s">
        <v>51</v>
      </c>
      <c r="E10" s="8" t="s">
        <v>56</v>
      </c>
      <c r="F10" s="8"/>
      <c r="G10" s="8"/>
    </row>
    <row r="11" spans="1:7" ht="33.75" customHeight="1" x14ac:dyDescent="0.3">
      <c r="A11" s="6">
        <v>1</v>
      </c>
      <c r="B11" s="6" t="s">
        <v>42</v>
      </c>
      <c r="C11" s="12" t="s">
        <v>266</v>
      </c>
      <c r="D11" s="8" t="s">
        <v>57</v>
      </c>
      <c r="E11" s="8" t="s">
        <v>58</v>
      </c>
      <c r="F11" s="8"/>
      <c r="G11" s="8"/>
    </row>
    <row r="12" spans="1:7" ht="33.75" customHeight="1" x14ac:dyDescent="0.3">
      <c r="A12" s="6">
        <v>1</v>
      </c>
      <c r="B12" s="6" t="s">
        <v>42</v>
      </c>
      <c r="C12" s="12" t="s">
        <v>266</v>
      </c>
      <c r="D12" s="8" t="s">
        <v>57</v>
      </c>
      <c r="E12" s="8" t="s">
        <v>59</v>
      </c>
      <c r="F12" s="8"/>
      <c r="G12" s="8"/>
    </row>
    <row r="13" spans="1:7" ht="33.75" customHeight="1" x14ac:dyDescent="0.3">
      <c r="A13" s="6">
        <v>1</v>
      </c>
      <c r="B13" s="6" t="s">
        <v>42</v>
      </c>
      <c r="C13" s="12" t="s">
        <v>266</v>
      </c>
      <c r="D13" s="8" t="s">
        <v>57</v>
      </c>
      <c r="E13" s="8" t="s">
        <v>60</v>
      </c>
      <c r="F13" s="8"/>
      <c r="G13" s="8"/>
    </row>
    <row r="14" spans="1:7" ht="33.75" customHeight="1" x14ac:dyDescent="0.3">
      <c r="A14" s="6">
        <v>1</v>
      </c>
      <c r="B14" s="6" t="s">
        <v>42</v>
      </c>
      <c r="C14" s="13" t="s">
        <v>267</v>
      </c>
      <c r="D14" s="8" t="s">
        <v>61</v>
      </c>
      <c r="E14" s="8" t="s">
        <v>62</v>
      </c>
      <c r="F14" s="8"/>
      <c r="G14" s="8"/>
    </row>
    <row r="15" spans="1:7" ht="33.75" customHeight="1" x14ac:dyDescent="0.3">
      <c r="A15" s="6">
        <v>1</v>
      </c>
      <c r="B15" s="6" t="s">
        <v>42</v>
      </c>
      <c r="C15" s="13" t="s">
        <v>267</v>
      </c>
      <c r="D15" s="8" t="s">
        <v>61</v>
      </c>
      <c r="E15" s="8" t="s">
        <v>63</v>
      </c>
      <c r="F15" s="8"/>
      <c r="G15" s="8"/>
    </row>
    <row r="16" spans="1:7" ht="33.75" customHeight="1" x14ac:dyDescent="0.3">
      <c r="A16" s="6">
        <v>1</v>
      </c>
      <c r="B16" s="6" t="s">
        <v>42</v>
      </c>
      <c r="C16" s="13" t="s">
        <v>267</v>
      </c>
      <c r="D16" s="8" t="s">
        <v>61</v>
      </c>
      <c r="E16" s="8" t="s">
        <v>64</v>
      </c>
      <c r="F16" s="8"/>
      <c r="G16" s="8"/>
    </row>
    <row r="17" spans="1:7" ht="33.75" customHeight="1" x14ac:dyDescent="0.3">
      <c r="A17" s="6">
        <v>2</v>
      </c>
      <c r="B17" s="6" t="s">
        <v>65</v>
      </c>
      <c r="C17" s="10" t="s">
        <v>264</v>
      </c>
      <c r="D17" s="8" t="s">
        <v>48</v>
      </c>
      <c r="E17" s="8" t="s">
        <v>66</v>
      </c>
      <c r="F17" s="8" t="s">
        <v>184</v>
      </c>
      <c r="G17" s="8"/>
    </row>
    <row r="18" spans="1:7" ht="33.75" customHeight="1" x14ac:dyDescent="0.3">
      <c r="A18" s="6">
        <v>2</v>
      </c>
      <c r="B18" s="6" t="s">
        <v>65</v>
      </c>
      <c r="C18" s="10" t="s">
        <v>264</v>
      </c>
      <c r="D18" s="8" t="s">
        <v>48</v>
      </c>
      <c r="E18" s="8" t="s">
        <v>67</v>
      </c>
      <c r="F18" s="8" t="s">
        <v>184</v>
      </c>
      <c r="G18" s="8"/>
    </row>
    <row r="19" spans="1:7" ht="33.75" customHeight="1" x14ac:dyDescent="0.3">
      <c r="A19" s="6">
        <v>2</v>
      </c>
      <c r="B19" s="6" t="s">
        <v>65</v>
      </c>
      <c r="C19" s="10" t="s">
        <v>264</v>
      </c>
      <c r="D19" s="8" t="s">
        <v>48</v>
      </c>
      <c r="E19" s="8" t="s">
        <v>68</v>
      </c>
      <c r="F19" s="8" t="s">
        <v>184</v>
      </c>
      <c r="G19" s="8"/>
    </row>
    <row r="20" spans="1:7" ht="33.75" customHeight="1" x14ac:dyDescent="0.3">
      <c r="A20" s="6">
        <v>2</v>
      </c>
      <c r="B20" s="6" t="s">
        <v>65</v>
      </c>
      <c r="C20" s="10" t="s">
        <v>264</v>
      </c>
      <c r="D20" s="8" t="s">
        <v>48</v>
      </c>
      <c r="E20" s="8" t="s">
        <v>69</v>
      </c>
      <c r="F20" s="8" t="s">
        <v>184</v>
      </c>
      <c r="G20" s="8"/>
    </row>
    <row r="21" spans="1:7" ht="33.75" customHeight="1" x14ac:dyDescent="0.3">
      <c r="A21" s="6">
        <v>2</v>
      </c>
      <c r="B21" s="6" t="s">
        <v>65</v>
      </c>
      <c r="C21" s="11" t="s">
        <v>265</v>
      </c>
      <c r="D21" s="8" t="s">
        <v>51</v>
      </c>
      <c r="E21" s="8" t="s">
        <v>70</v>
      </c>
      <c r="F21" s="8"/>
      <c r="G21" s="8"/>
    </row>
    <row r="22" spans="1:7" ht="33.75" customHeight="1" x14ac:dyDescent="0.3">
      <c r="A22" s="6">
        <v>2</v>
      </c>
      <c r="B22" s="6" t="s">
        <v>65</v>
      </c>
      <c r="C22" s="11" t="s">
        <v>265</v>
      </c>
      <c r="D22" s="8" t="s">
        <v>51</v>
      </c>
      <c r="E22" s="8" t="s">
        <v>71</v>
      </c>
      <c r="F22" s="8"/>
      <c r="G22" s="8"/>
    </row>
    <row r="23" spans="1:7" ht="33.75" customHeight="1" x14ac:dyDescent="0.3">
      <c r="A23" s="6">
        <v>2</v>
      </c>
      <c r="B23" s="6" t="s">
        <v>65</v>
      </c>
      <c r="C23" s="11" t="s">
        <v>265</v>
      </c>
      <c r="D23" s="8" t="s">
        <v>51</v>
      </c>
      <c r="E23" s="8" t="s">
        <v>72</v>
      </c>
      <c r="F23" s="8"/>
      <c r="G23" s="8"/>
    </row>
    <row r="24" spans="1:7" ht="33.75" customHeight="1" x14ac:dyDescent="0.3">
      <c r="A24" s="6">
        <v>2</v>
      </c>
      <c r="B24" s="6" t="s">
        <v>65</v>
      </c>
      <c r="C24" s="11" t="s">
        <v>265</v>
      </c>
      <c r="D24" s="8" t="s">
        <v>51</v>
      </c>
      <c r="E24" s="8" t="s">
        <v>73</v>
      </c>
      <c r="F24" s="8"/>
      <c r="G24" s="8"/>
    </row>
    <row r="25" spans="1:7" ht="33.75" customHeight="1" x14ac:dyDescent="0.3">
      <c r="A25" s="6">
        <v>2</v>
      </c>
      <c r="B25" s="6" t="s">
        <v>65</v>
      </c>
      <c r="C25" s="12" t="s">
        <v>266</v>
      </c>
      <c r="D25" s="8" t="s">
        <v>57</v>
      </c>
      <c r="E25" s="8" t="s">
        <v>74</v>
      </c>
      <c r="F25" s="8"/>
      <c r="G25" s="8"/>
    </row>
    <row r="26" spans="1:7" ht="33.75" customHeight="1" x14ac:dyDescent="0.3">
      <c r="A26" s="6">
        <v>2</v>
      </c>
      <c r="B26" s="6" t="s">
        <v>65</v>
      </c>
      <c r="C26" s="12" t="s">
        <v>266</v>
      </c>
      <c r="D26" s="8" t="s">
        <v>57</v>
      </c>
      <c r="E26" s="8" t="s">
        <v>75</v>
      </c>
      <c r="F26" s="8"/>
      <c r="G26" s="8"/>
    </row>
    <row r="27" spans="1:7" ht="33.75" customHeight="1" x14ac:dyDescent="0.3">
      <c r="A27" s="6">
        <v>2</v>
      </c>
      <c r="B27" s="6" t="s">
        <v>65</v>
      </c>
      <c r="C27" s="13" t="s">
        <v>267</v>
      </c>
      <c r="D27" s="8" t="s">
        <v>61</v>
      </c>
      <c r="E27" s="8" t="s">
        <v>76</v>
      </c>
      <c r="F27" s="8"/>
      <c r="G27" s="8"/>
    </row>
    <row r="28" spans="1:7" ht="33.75" customHeight="1" x14ac:dyDescent="0.3">
      <c r="A28" s="6">
        <v>2</v>
      </c>
      <c r="B28" s="6" t="s">
        <v>65</v>
      </c>
      <c r="C28" s="13" t="s">
        <v>267</v>
      </c>
      <c r="D28" s="8" t="s">
        <v>61</v>
      </c>
      <c r="E28" s="8" t="s">
        <v>77</v>
      </c>
      <c r="F28" s="8"/>
      <c r="G28" s="8"/>
    </row>
    <row r="29" spans="1:7" ht="33.75" customHeight="1" x14ac:dyDescent="0.3">
      <c r="A29" s="6">
        <v>2</v>
      </c>
      <c r="B29" s="6" t="s">
        <v>65</v>
      </c>
      <c r="C29" s="13" t="s">
        <v>267</v>
      </c>
      <c r="D29" s="8" t="s">
        <v>61</v>
      </c>
      <c r="E29" s="8" t="s">
        <v>78</v>
      </c>
      <c r="F29" s="8"/>
      <c r="G29" s="8"/>
    </row>
    <row r="30" spans="1:7" ht="33.75" customHeight="1" x14ac:dyDescent="0.3">
      <c r="A30" s="6">
        <v>2</v>
      </c>
      <c r="B30" s="6" t="s">
        <v>65</v>
      </c>
      <c r="C30" s="9" t="s">
        <v>268</v>
      </c>
      <c r="D30" s="8" t="s">
        <v>79</v>
      </c>
      <c r="E30" s="8" t="s">
        <v>80</v>
      </c>
      <c r="F30" s="8"/>
      <c r="G30" s="8"/>
    </row>
    <row r="31" spans="1:7" ht="33.75" customHeight="1" x14ac:dyDescent="0.3">
      <c r="A31" s="6">
        <v>2</v>
      </c>
      <c r="B31" s="6" t="s">
        <v>65</v>
      </c>
      <c r="C31" s="9" t="s">
        <v>268</v>
      </c>
      <c r="D31" s="8" t="s">
        <v>79</v>
      </c>
      <c r="E31" s="8" t="s">
        <v>81</v>
      </c>
      <c r="F31" s="8"/>
      <c r="G31" s="8"/>
    </row>
    <row r="32" spans="1:7" ht="33.75" customHeight="1" x14ac:dyDescent="0.3">
      <c r="A32" s="6">
        <v>3</v>
      </c>
      <c r="B32" s="6" t="s">
        <v>82</v>
      </c>
      <c r="C32" s="10" t="s">
        <v>264</v>
      </c>
      <c r="D32" s="8" t="s">
        <v>48</v>
      </c>
      <c r="E32" s="8" t="s">
        <v>83</v>
      </c>
      <c r="F32" s="8" t="s">
        <v>184</v>
      </c>
      <c r="G32" s="8"/>
    </row>
    <row r="33" spans="1:7" ht="33.75" customHeight="1" x14ac:dyDescent="0.3">
      <c r="A33" s="6">
        <v>3</v>
      </c>
      <c r="B33" s="6" t="s">
        <v>82</v>
      </c>
      <c r="C33" s="10" t="s">
        <v>264</v>
      </c>
      <c r="D33" s="8" t="s">
        <v>48</v>
      </c>
      <c r="E33" s="8" t="s">
        <v>84</v>
      </c>
      <c r="F33" s="8" t="s">
        <v>184</v>
      </c>
      <c r="G33" s="8"/>
    </row>
    <row r="34" spans="1:7" ht="33.75" customHeight="1" x14ac:dyDescent="0.3">
      <c r="A34" s="6">
        <v>3</v>
      </c>
      <c r="B34" s="6" t="s">
        <v>82</v>
      </c>
      <c r="C34" s="10" t="s">
        <v>264</v>
      </c>
      <c r="D34" s="8" t="s">
        <v>48</v>
      </c>
      <c r="E34" s="8" t="s">
        <v>85</v>
      </c>
      <c r="F34" s="8"/>
      <c r="G34" s="8"/>
    </row>
    <row r="35" spans="1:7" ht="33.75" customHeight="1" x14ac:dyDescent="0.3">
      <c r="A35" s="6">
        <v>3</v>
      </c>
      <c r="B35" s="6" t="s">
        <v>82</v>
      </c>
      <c r="C35" s="10" t="s">
        <v>264</v>
      </c>
      <c r="D35" s="8" t="s">
        <v>48</v>
      </c>
      <c r="E35" s="8" t="s">
        <v>86</v>
      </c>
      <c r="F35" s="8" t="s">
        <v>184</v>
      </c>
      <c r="G35" s="8"/>
    </row>
    <row r="36" spans="1:7" ht="33.75" customHeight="1" x14ac:dyDescent="0.3">
      <c r="A36" s="6">
        <v>3</v>
      </c>
      <c r="B36" s="6" t="s">
        <v>82</v>
      </c>
      <c r="C36" s="10" t="s">
        <v>264</v>
      </c>
      <c r="D36" s="8" t="s">
        <v>48</v>
      </c>
      <c r="E36" s="8" t="s">
        <v>87</v>
      </c>
      <c r="F36" s="8"/>
      <c r="G36" s="8"/>
    </row>
    <row r="37" spans="1:7" ht="33.75" customHeight="1" x14ac:dyDescent="0.3">
      <c r="A37" s="6">
        <v>3</v>
      </c>
      <c r="B37" s="6" t="s">
        <v>82</v>
      </c>
      <c r="C37" s="10" t="s">
        <v>264</v>
      </c>
      <c r="D37" s="8" t="s">
        <v>48</v>
      </c>
      <c r="E37" s="8" t="s">
        <v>88</v>
      </c>
      <c r="F37" s="8"/>
      <c r="G37" s="8"/>
    </row>
    <row r="38" spans="1:7" ht="33.75" customHeight="1" x14ac:dyDescent="0.3">
      <c r="A38" s="6">
        <v>3</v>
      </c>
      <c r="B38" s="6" t="s">
        <v>82</v>
      </c>
      <c r="C38" s="11" t="s">
        <v>265</v>
      </c>
      <c r="D38" s="8" t="s">
        <v>51</v>
      </c>
      <c r="E38" s="8" t="s">
        <v>89</v>
      </c>
      <c r="F38" s="8"/>
      <c r="G38" s="8"/>
    </row>
    <row r="39" spans="1:7" ht="33.75" customHeight="1" x14ac:dyDescent="0.3">
      <c r="A39" s="6">
        <v>3</v>
      </c>
      <c r="B39" s="6" t="s">
        <v>82</v>
      </c>
      <c r="C39" s="11" t="s">
        <v>265</v>
      </c>
      <c r="D39" s="8" t="s">
        <v>51</v>
      </c>
      <c r="E39" s="8" t="s">
        <v>90</v>
      </c>
      <c r="F39" s="8"/>
      <c r="G39" s="8"/>
    </row>
    <row r="40" spans="1:7" ht="33.75" customHeight="1" x14ac:dyDescent="0.3">
      <c r="A40" s="6">
        <v>3</v>
      </c>
      <c r="B40" s="6" t="s">
        <v>82</v>
      </c>
      <c r="C40" s="11" t="s">
        <v>265</v>
      </c>
      <c r="D40" s="8" t="s">
        <v>51</v>
      </c>
      <c r="E40" s="8" t="s">
        <v>91</v>
      </c>
      <c r="F40" s="8"/>
      <c r="G40" s="8"/>
    </row>
    <row r="41" spans="1:7" ht="33.75" customHeight="1" x14ac:dyDescent="0.3">
      <c r="A41" s="6">
        <v>3</v>
      </c>
      <c r="B41" s="6" t="s">
        <v>82</v>
      </c>
      <c r="C41" s="11" t="s">
        <v>265</v>
      </c>
      <c r="D41" s="8" t="s">
        <v>51</v>
      </c>
      <c r="E41" s="8" t="s">
        <v>92</v>
      </c>
      <c r="F41" s="8"/>
      <c r="G41" s="8"/>
    </row>
    <row r="42" spans="1:7" ht="33.75" customHeight="1" x14ac:dyDescent="0.3">
      <c r="A42" s="6">
        <v>3</v>
      </c>
      <c r="B42" s="6" t="s">
        <v>82</v>
      </c>
      <c r="C42" s="12" t="s">
        <v>266</v>
      </c>
      <c r="D42" s="8" t="s">
        <v>57</v>
      </c>
      <c r="E42" s="8" t="s">
        <v>93</v>
      </c>
      <c r="F42" s="8"/>
      <c r="G42" s="8"/>
    </row>
    <row r="43" spans="1:7" ht="33.75" customHeight="1" x14ac:dyDescent="0.3">
      <c r="A43" s="6">
        <v>3</v>
      </c>
      <c r="B43" s="6" t="s">
        <v>82</v>
      </c>
      <c r="C43" s="12" t="s">
        <v>266</v>
      </c>
      <c r="D43" s="8" t="s">
        <v>57</v>
      </c>
      <c r="E43" s="8" t="s">
        <v>94</v>
      </c>
      <c r="F43" s="8"/>
      <c r="G43" s="8"/>
    </row>
    <row r="44" spans="1:7" ht="33.75" customHeight="1" x14ac:dyDescent="0.3">
      <c r="A44" s="6">
        <v>3</v>
      </c>
      <c r="B44" s="6" t="s">
        <v>82</v>
      </c>
      <c r="C44" s="12" t="s">
        <v>266</v>
      </c>
      <c r="D44" s="8" t="s">
        <v>57</v>
      </c>
      <c r="E44" s="8" t="s">
        <v>95</v>
      </c>
      <c r="F44" s="8"/>
      <c r="G44" s="8"/>
    </row>
    <row r="45" spans="1:7" ht="33.75" customHeight="1" x14ac:dyDescent="0.3">
      <c r="A45" s="6">
        <v>3</v>
      </c>
      <c r="B45" s="6" t="s">
        <v>82</v>
      </c>
      <c r="C45" s="13" t="s">
        <v>267</v>
      </c>
      <c r="D45" s="8" t="s">
        <v>61</v>
      </c>
      <c r="E45" s="8" t="s">
        <v>96</v>
      </c>
      <c r="F45" s="8"/>
      <c r="G45" s="8"/>
    </row>
    <row r="46" spans="1:7" ht="33.75" customHeight="1" x14ac:dyDescent="0.3">
      <c r="A46" s="6">
        <v>3</v>
      </c>
      <c r="B46" s="6" t="s">
        <v>82</v>
      </c>
      <c r="C46" s="13" t="s">
        <v>267</v>
      </c>
      <c r="D46" s="8" t="s">
        <v>61</v>
      </c>
      <c r="E46" s="8" t="s">
        <v>97</v>
      </c>
      <c r="F46" s="8"/>
      <c r="G46" s="8"/>
    </row>
    <row r="47" spans="1:7" ht="33.75" customHeight="1" x14ac:dyDescent="0.3">
      <c r="A47" s="6">
        <v>3</v>
      </c>
      <c r="B47" s="6" t="s">
        <v>82</v>
      </c>
      <c r="C47" s="9" t="s">
        <v>268</v>
      </c>
      <c r="D47" s="8" t="s">
        <v>79</v>
      </c>
      <c r="E47" s="8" t="s">
        <v>98</v>
      </c>
      <c r="F47" s="8"/>
      <c r="G47" s="8"/>
    </row>
    <row r="48" spans="1:7" ht="33.75" customHeight="1" x14ac:dyDescent="0.3">
      <c r="A48" s="6">
        <v>3</v>
      </c>
      <c r="B48" s="6" t="s">
        <v>82</v>
      </c>
      <c r="C48" s="9" t="s">
        <v>268</v>
      </c>
      <c r="D48" s="8" t="s">
        <v>79</v>
      </c>
      <c r="E48" s="8" t="s">
        <v>99</v>
      </c>
      <c r="F48" s="8"/>
      <c r="G48" s="8"/>
    </row>
    <row r="49" spans="1:7" ht="33.75" customHeight="1" x14ac:dyDescent="0.3">
      <c r="A49" s="6">
        <v>4</v>
      </c>
      <c r="B49" s="6" t="s">
        <v>100</v>
      </c>
      <c r="C49" s="10" t="s">
        <v>264</v>
      </c>
      <c r="D49" s="8" t="s">
        <v>101</v>
      </c>
      <c r="E49" s="8" t="s">
        <v>102</v>
      </c>
      <c r="F49" s="8"/>
      <c r="G49" s="8"/>
    </row>
    <row r="50" spans="1:7" ht="33.75" customHeight="1" x14ac:dyDescent="0.3">
      <c r="A50" s="6">
        <v>4</v>
      </c>
      <c r="B50" s="6" t="s">
        <v>100</v>
      </c>
      <c r="C50" s="10" t="s">
        <v>264</v>
      </c>
      <c r="D50" s="8" t="s">
        <v>101</v>
      </c>
      <c r="E50" s="8" t="s">
        <v>103</v>
      </c>
      <c r="F50" s="8"/>
      <c r="G50" s="8"/>
    </row>
    <row r="51" spans="1:7" ht="33.75" customHeight="1" x14ac:dyDescent="0.3">
      <c r="A51" s="6">
        <v>4</v>
      </c>
      <c r="B51" s="6" t="s">
        <v>100</v>
      </c>
      <c r="C51" s="11" t="s">
        <v>265</v>
      </c>
      <c r="D51" s="8" t="s">
        <v>51</v>
      </c>
      <c r="E51" s="8" t="s">
        <v>104</v>
      </c>
      <c r="F51" s="8"/>
      <c r="G51" s="8"/>
    </row>
    <row r="52" spans="1:7" ht="33.75" customHeight="1" x14ac:dyDescent="0.3">
      <c r="A52" s="6">
        <v>4</v>
      </c>
      <c r="B52" s="6" t="s">
        <v>100</v>
      </c>
      <c r="C52" s="11" t="s">
        <v>265</v>
      </c>
      <c r="D52" s="8" t="s">
        <v>51</v>
      </c>
      <c r="E52" s="8" t="s">
        <v>105</v>
      </c>
      <c r="F52" s="8"/>
      <c r="G52" s="8"/>
    </row>
    <row r="53" spans="1:7" ht="33.75" customHeight="1" x14ac:dyDescent="0.3">
      <c r="A53" s="6">
        <v>4</v>
      </c>
      <c r="B53" s="6" t="s">
        <v>100</v>
      </c>
      <c r="C53" s="11" t="s">
        <v>265</v>
      </c>
      <c r="D53" s="8" t="s">
        <v>51</v>
      </c>
      <c r="E53" s="8" t="s">
        <v>106</v>
      </c>
      <c r="F53" s="8"/>
      <c r="G53" s="8"/>
    </row>
    <row r="54" spans="1:7" ht="33.75" customHeight="1" x14ac:dyDescent="0.3">
      <c r="A54" s="6">
        <v>4</v>
      </c>
      <c r="B54" s="6" t="s">
        <v>100</v>
      </c>
      <c r="C54" s="11" t="s">
        <v>265</v>
      </c>
      <c r="D54" s="8" t="s">
        <v>51</v>
      </c>
      <c r="E54" s="8" t="s">
        <v>107</v>
      </c>
      <c r="F54" s="8"/>
      <c r="G54" s="8"/>
    </row>
    <row r="55" spans="1:7" ht="33.75" customHeight="1" x14ac:dyDescent="0.3">
      <c r="A55" s="6">
        <v>4</v>
      </c>
      <c r="B55" s="6" t="s">
        <v>100</v>
      </c>
      <c r="C55" s="11" t="s">
        <v>265</v>
      </c>
      <c r="D55" s="8" t="s">
        <v>51</v>
      </c>
      <c r="E55" s="8" t="s">
        <v>108</v>
      </c>
      <c r="F55" s="8"/>
      <c r="G55" s="8"/>
    </row>
    <row r="56" spans="1:7" ht="33.75" customHeight="1" x14ac:dyDescent="0.3">
      <c r="A56" s="6">
        <v>4</v>
      </c>
      <c r="B56" s="6" t="s">
        <v>100</v>
      </c>
      <c r="C56" s="12" t="s">
        <v>266</v>
      </c>
      <c r="D56" s="8" t="s">
        <v>57</v>
      </c>
      <c r="E56" s="8" t="s">
        <v>109</v>
      </c>
      <c r="F56" s="8"/>
      <c r="G56" s="8"/>
    </row>
    <row r="57" spans="1:7" ht="33.75" customHeight="1" x14ac:dyDescent="0.3">
      <c r="A57" s="6">
        <v>4</v>
      </c>
      <c r="B57" s="6" t="s">
        <v>100</v>
      </c>
      <c r="C57" s="12" t="s">
        <v>266</v>
      </c>
      <c r="D57" s="8" t="s">
        <v>57</v>
      </c>
      <c r="E57" s="8" t="s">
        <v>110</v>
      </c>
      <c r="F57" s="8"/>
      <c r="G57" s="8"/>
    </row>
    <row r="58" spans="1:7" ht="33.75" customHeight="1" x14ac:dyDescent="0.3">
      <c r="A58" s="6">
        <v>4</v>
      </c>
      <c r="B58" s="6" t="s">
        <v>100</v>
      </c>
      <c r="C58" s="13" t="s">
        <v>267</v>
      </c>
      <c r="D58" s="8" t="s">
        <v>61</v>
      </c>
      <c r="E58" s="8" t="s">
        <v>111</v>
      </c>
      <c r="F58" s="8"/>
      <c r="G58" s="8"/>
    </row>
    <row r="59" spans="1:7" ht="33.75" customHeight="1" x14ac:dyDescent="0.3">
      <c r="A59" s="6">
        <v>4</v>
      </c>
      <c r="B59" s="6" t="s">
        <v>100</v>
      </c>
      <c r="C59" s="13" t="s">
        <v>267</v>
      </c>
      <c r="D59" s="8" t="s">
        <v>61</v>
      </c>
      <c r="E59" s="8" t="s">
        <v>112</v>
      </c>
      <c r="F59" s="8"/>
      <c r="G59" s="8"/>
    </row>
    <row r="60" spans="1:7" ht="33.75" customHeight="1" x14ac:dyDescent="0.3">
      <c r="A60" s="6">
        <v>4</v>
      </c>
      <c r="B60" s="6" t="s">
        <v>100</v>
      </c>
      <c r="C60" s="9" t="s">
        <v>268</v>
      </c>
      <c r="D60" s="8" t="s">
        <v>79</v>
      </c>
      <c r="E60" s="8" t="s">
        <v>113</v>
      </c>
      <c r="F60" s="8"/>
      <c r="G60" s="8"/>
    </row>
    <row r="61" spans="1:7" ht="33.75" customHeight="1" x14ac:dyDescent="0.3">
      <c r="A61" s="6">
        <v>4</v>
      </c>
      <c r="B61" s="6" t="s">
        <v>100</v>
      </c>
      <c r="C61" s="9" t="s">
        <v>268</v>
      </c>
      <c r="D61" s="8" t="s">
        <v>114</v>
      </c>
      <c r="E61" s="8" t="s">
        <v>115</v>
      </c>
      <c r="F61" s="8"/>
      <c r="G61" s="8"/>
    </row>
    <row r="62" spans="1:7" ht="33.75" customHeight="1" x14ac:dyDescent="0.3">
      <c r="A62" s="6">
        <v>5</v>
      </c>
      <c r="B62" s="6" t="s">
        <v>116</v>
      </c>
      <c r="C62" s="10" t="s">
        <v>264</v>
      </c>
      <c r="D62" s="8" t="s">
        <v>101</v>
      </c>
      <c r="E62" s="8" t="s">
        <v>117</v>
      </c>
      <c r="F62" s="8"/>
      <c r="G62" s="8"/>
    </row>
    <row r="63" spans="1:7" ht="33.75" customHeight="1" x14ac:dyDescent="0.3">
      <c r="A63" s="6">
        <v>5</v>
      </c>
      <c r="B63" s="6" t="s">
        <v>116</v>
      </c>
      <c r="C63" s="10" t="s">
        <v>264</v>
      </c>
      <c r="D63" s="8" t="s">
        <v>101</v>
      </c>
      <c r="E63" s="8" t="s">
        <v>118</v>
      </c>
      <c r="F63" s="8"/>
      <c r="G63" s="8"/>
    </row>
    <row r="64" spans="1:7" ht="33.75" customHeight="1" x14ac:dyDescent="0.3">
      <c r="A64" s="6">
        <v>5</v>
      </c>
      <c r="B64" s="6" t="s">
        <v>116</v>
      </c>
      <c r="C64" s="10" t="s">
        <v>264</v>
      </c>
      <c r="D64" s="8" t="s">
        <v>101</v>
      </c>
      <c r="E64" s="8" t="s">
        <v>119</v>
      </c>
      <c r="F64" s="8"/>
      <c r="G64" s="8"/>
    </row>
    <row r="65" spans="1:7" ht="33.75" customHeight="1" x14ac:dyDescent="0.3">
      <c r="A65" s="6">
        <v>5</v>
      </c>
      <c r="B65" s="6" t="s">
        <v>116</v>
      </c>
      <c r="C65" s="11" t="s">
        <v>265</v>
      </c>
      <c r="D65" s="8" t="s">
        <v>51</v>
      </c>
      <c r="E65" s="8" t="s">
        <v>120</v>
      </c>
      <c r="F65" s="8"/>
      <c r="G65" s="8"/>
    </row>
    <row r="66" spans="1:7" ht="33.75" customHeight="1" x14ac:dyDescent="0.3">
      <c r="A66" s="6">
        <v>5</v>
      </c>
      <c r="B66" s="6" t="s">
        <v>116</v>
      </c>
      <c r="C66" s="11" t="s">
        <v>265</v>
      </c>
      <c r="D66" s="8" t="s">
        <v>51</v>
      </c>
      <c r="E66" s="8" t="s">
        <v>121</v>
      </c>
      <c r="F66" s="8"/>
      <c r="G66" s="8"/>
    </row>
    <row r="67" spans="1:7" ht="33.75" customHeight="1" x14ac:dyDescent="0.3">
      <c r="A67" s="6">
        <v>5</v>
      </c>
      <c r="B67" s="6" t="s">
        <v>116</v>
      </c>
      <c r="C67" s="11" t="s">
        <v>265</v>
      </c>
      <c r="D67" s="8" t="s">
        <v>51</v>
      </c>
      <c r="E67" s="8" t="s">
        <v>122</v>
      </c>
      <c r="F67" s="8"/>
      <c r="G67" s="8"/>
    </row>
    <row r="68" spans="1:7" ht="33.75" customHeight="1" x14ac:dyDescent="0.3">
      <c r="A68" s="6">
        <v>5</v>
      </c>
      <c r="B68" s="6" t="s">
        <v>116</v>
      </c>
      <c r="C68" s="11" t="s">
        <v>265</v>
      </c>
      <c r="D68" s="8" t="s">
        <v>51</v>
      </c>
      <c r="E68" s="8" t="s">
        <v>123</v>
      </c>
      <c r="F68" s="8"/>
      <c r="G68" s="8"/>
    </row>
    <row r="69" spans="1:7" ht="33.75" customHeight="1" x14ac:dyDescent="0.3">
      <c r="A69" s="6">
        <v>5</v>
      </c>
      <c r="B69" s="6" t="s">
        <v>116</v>
      </c>
      <c r="C69" s="12" t="s">
        <v>266</v>
      </c>
      <c r="D69" s="8" t="s">
        <v>57</v>
      </c>
      <c r="E69" s="8" t="s">
        <v>124</v>
      </c>
      <c r="F69" s="8"/>
      <c r="G69" s="8"/>
    </row>
    <row r="70" spans="1:7" ht="33.75" customHeight="1" x14ac:dyDescent="0.3">
      <c r="A70" s="6">
        <v>5</v>
      </c>
      <c r="B70" s="6" t="s">
        <v>116</v>
      </c>
      <c r="C70" s="12" t="s">
        <v>266</v>
      </c>
      <c r="D70" s="8" t="s">
        <v>57</v>
      </c>
      <c r="E70" s="8" t="s">
        <v>125</v>
      </c>
      <c r="F70" s="8"/>
      <c r="G70" s="8"/>
    </row>
    <row r="71" spans="1:7" ht="33.75" customHeight="1" x14ac:dyDescent="0.3">
      <c r="A71" s="6">
        <v>5</v>
      </c>
      <c r="B71" s="6" t="s">
        <v>116</v>
      </c>
      <c r="C71" s="12" t="s">
        <v>266</v>
      </c>
      <c r="D71" s="8" t="s">
        <v>57</v>
      </c>
      <c r="E71" s="8" t="s">
        <v>126</v>
      </c>
      <c r="F71" s="8"/>
      <c r="G71" s="8"/>
    </row>
    <row r="72" spans="1:7" ht="33.75" customHeight="1" x14ac:dyDescent="0.3">
      <c r="A72" s="6">
        <v>5</v>
      </c>
      <c r="B72" s="6" t="s">
        <v>116</v>
      </c>
      <c r="C72" s="13" t="s">
        <v>267</v>
      </c>
      <c r="D72" s="8" t="s">
        <v>61</v>
      </c>
      <c r="E72" s="8" t="s">
        <v>127</v>
      </c>
      <c r="F72" s="8"/>
      <c r="G72" s="8"/>
    </row>
    <row r="73" spans="1:7" ht="33.75" customHeight="1" x14ac:dyDescent="0.3">
      <c r="A73" s="6">
        <v>5</v>
      </c>
      <c r="B73" s="6" t="s">
        <v>116</v>
      </c>
      <c r="C73" s="13" t="s">
        <v>267</v>
      </c>
      <c r="D73" s="8" t="s">
        <v>61</v>
      </c>
      <c r="E73" s="8" t="s">
        <v>128</v>
      </c>
      <c r="F73" s="8"/>
      <c r="G73" s="8"/>
    </row>
    <row r="74" spans="1:7" ht="33.75" customHeight="1" x14ac:dyDescent="0.3">
      <c r="A74" s="6">
        <v>5</v>
      </c>
      <c r="B74" s="6" t="s">
        <v>116</v>
      </c>
      <c r="C74" s="13" t="s">
        <v>267</v>
      </c>
      <c r="D74" s="8" t="s">
        <v>61</v>
      </c>
      <c r="E74" s="8" t="s">
        <v>129</v>
      </c>
      <c r="F74" s="8"/>
      <c r="G74" s="8"/>
    </row>
    <row r="75" spans="1:7" ht="33.75" customHeight="1" x14ac:dyDescent="0.3">
      <c r="A75" s="6">
        <v>5</v>
      </c>
      <c r="B75" s="6" t="s">
        <v>116</v>
      </c>
      <c r="C75" s="13" t="s">
        <v>267</v>
      </c>
      <c r="D75" s="8" t="s">
        <v>61</v>
      </c>
      <c r="E75" s="8" t="s">
        <v>130</v>
      </c>
      <c r="F75" s="8"/>
      <c r="G75" s="8"/>
    </row>
    <row r="76" spans="1:7" ht="33.75" customHeight="1" x14ac:dyDescent="0.3">
      <c r="A76" s="6">
        <v>5</v>
      </c>
      <c r="B76" s="6" t="s">
        <v>116</v>
      </c>
      <c r="C76" s="9" t="s">
        <v>268</v>
      </c>
      <c r="D76" s="8" t="s">
        <v>79</v>
      </c>
      <c r="E76" s="8" t="s">
        <v>131</v>
      </c>
      <c r="F76" s="8"/>
      <c r="G76" s="8"/>
    </row>
    <row r="77" spans="1:7" ht="33.75" customHeight="1" x14ac:dyDescent="0.3">
      <c r="A77" s="6">
        <v>5</v>
      </c>
      <c r="B77" s="6" t="s">
        <v>116</v>
      </c>
      <c r="C77" s="9" t="s">
        <v>268</v>
      </c>
      <c r="D77" s="8" t="s">
        <v>114</v>
      </c>
      <c r="E77" s="8" t="s">
        <v>132</v>
      </c>
      <c r="F77" s="8"/>
      <c r="G77" s="8"/>
    </row>
    <row r="78" spans="1:7" ht="33.75" customHeight="1" x14ac:dyDescent="0.3">
      <c r="A78" s="6">
        <v>5</v>
      </c>
      <c r="B78" s="6" t="s">
        <v>116</v>
      </c>
      <c r="C78" s="9" t="s">
        <v>268</v>
      </c>
      <c r="D78" s="8" t="s">
        <v>79</v>
      </c>
      <c r="E78" s="8" t="s">
        <v>133</v>
      </c>
      <c r="F78" s="8"/>
      <c r="G78" s="8"/>
    </row>
    <row r="79" spans="1:7" ht="33.75" customHeight="1" x14ac:dyDescent="0.3">
      <c r="A79" s="6">
        <v>6</v>
      </c>
      <c r="B79" s="6" t="s">
        <v>134</v>
      </c>
      <c r="C79" s="10" t="s">
        <v>264</v>
      </c>
      <c r="D79" s="8" t="s">
        <v>101</v>
      </c>
      <c r="E79" s="8" t="s">
        <v>135</v>
      </c>
      <c r="F79" s="8"/>
      <c r="G79" s="8"/>
    </row>
    <row r="80" spans="1:7" ht="33.75" customHeight="1" x14ac:dyDescent="0.3">
      <c r="A80" s="6">
        <v>6</v>
      </c>
      <c r="B80" s="6" t="s">
        <v>134</v>
      </c>
      <c r="C80" s="10" t="s">
        <v>264</v>
      </c>
      <c r="D80" s="8" t="s">
        <v>101</v>
      </c>
      <c r="E80" s="8" t="s">
        <v>136</v>
      </c>
      <c r="F80" s="8"/>
      <c r="G80" s="8"/>
    </row>
    <row r="81" spans="1:7" ht="33.75" customHeight="1" x14ac:dyDescent="0.3">
      <c r="A81" s="6">
        <v>6</v>
      </c>
      <c r="B81" s="6" t="s">
        <v>134</v>
      </c>
      <c r="C81" s="11" t="s">
        <v>265</v>
      </c>
      <c r="D81" s="8" t="s">
        <v>51</v>
      </c>
      <c r="E81" s="8" t="s">
        <v>137</v>
      </c>
      <c r="F81" s="8"/>
      <c r="G81" s="8"/>
    </row>
    <row r="82" spans="1:7" ht="33.75" customHeight="1" x14ac:dyDescent="0.3">
      <c r="A82" s="6">
        <v>6</v>
      </c>
      <c r="B82" s="6" t="s">
        <v>134</v>
      </c>
      <c r="C82" s="11" t="s">
        <v>265</v>
      </c>
      <c r="D82" s="8" t="s">
        <v>51</v>
      </c>
      <c r="E82" s="8" t="s">
        <v>138</v>
      </c>
      <c r="F82" s="8"/>
      <c r="G82" s="8"/>
    </row>
    <row r="83" spans="1:7" ht="33.75" customHeight="1" x14ac:dyDescent="0.3">
      <c r="A83" s="6">
        <v>6</v>
      </c>
      <c r="B83" s="6" t="s">
        <v>134</v>
      </c>
      <c r="C83" s="11" t="s">
        <v>265</v>
      </c>
      <c r="D83" s="8" t="s">
        <v>139</v>
      </c>
      <c r="E83" s="8" t="s">
        <v>140</v>
      </c>
      <c r="F83" s="8"/>
      <c r="G83" s="8"/>
    </row>
    <row r="84" spans="1:7" ht="33.75" customHeight="1" x14ac:dyDescent="0.3">
      <c r="A84" s="6">
        <v>6</v>
      </c>
      <c r="B84" s="6" t="s">
        <v>134</v>
      </c>
      <c r="C84" s="12" t="s">
        <v>266</v>
      </c>
      <c r="D84" s="8" t="s">
        <v>139</v>
      </c>
      <c r="E84" s="8" t="s">
        <v>141</v>
      </c>
      <c r="F84" s="8"/>
      <c r="G84" s="8"/>
    </row>
    <row r="85" spans="1:7" ht="33.75" customHeight="1" x14ac:dyDescent="0.3">
      <c r="A85" s="6">
        <v>6</v>
      </c>
      <c r="B85" s="6" t="s">
        <v>134</v>
      </c>
      <c r="C85" s="12" t="s">
        <v>266</v>
      </c>
      <c r="D85" s="8" t="s">
        <v>57</v>
      </c>
      <c r="E85" s="8" t="s">
        <v>142</v>
      </c>
      <c r="F85" s="8"/>
      <c r="G85" s="8"/>
    </row>
    <row r="86" spans="1:7" ht="33.75" customHeight="1" x14ac:dyDescent="0.3">
      <c r="A86" s="6">
        <v>6</v>
      </c>
      <c r="B86" s="6" t="s">
        <v>134</v>
      </c>
      <c r="C86" s="13" t="s">
        <v>267</v>
      </c>
      <c r="D86" s="8" t="s">
        <v>139</v>
      </c>
      <c r="E86" s="8" t="s">
        <v>143</v>
      </c>
      <c r="F86" s="8"/>
      <c r="G86" s="8"/>
    </row>
    <row r="87" spans="1:7" ht="33.75" customHeight="1" x14ac:dyDescent="0.3">
      <c r="A87" s="6">
        <v>6</v>
      </c>
      <c r="B87" s="6" t="s">
        <v>134</v>
      </c>
      <c r="C87" s="9" t="s">
        <v>268</v>
      </c>
      <c r="D87" s="8" t="s">
        <v>79</v>
      </c>
      <c r="E87" s="8" t="s">
        <v>144</v>
      </c>
      <c r="F87" s="8"/>
      <c r="G87" s="8"/>
    </row>
    <row r="88" spans="1:7" ht="33.75" customHeight="1" x14ac:dyDescent="0.3">
      <c r="A88" s="6">
        <v>6</v>
      </c>
      <c r="B88" s="6" t="s">
        <v>134</v>
      </c>
      <c r="C88" s="9" t="s">
        <v>268</v>
      </c>
      <c r="D88" s="8" t="s">
        <v>114</v>
      </c>
      <c r="E88" s="8" t="s">
        <v>145</v>
      </c>
      <c r="F88" s="8"/>
      <c r="G88" s="8"/>
    </row>
    <row r="89" spans="1:7" ht="33.75" customHeight="1" x14ac:dyDescent="0.3">
      <c r="A89" s="6">
        <v>6</v>
      </c>
      <c r="B89" s="6" t="s">
        <v>134</v>
      </c>
      <c r="C89" s="9" t="s">
        <v>268</v>
      </c>
      <c r="D89" s="8" t="s">
        <v>146</v>
      </c>
      <c r="E89" s="8" t="s">
        <v>147</v>
      </c>
      <c r="F89" s="8"/>
      <c r="G89" s="8"/>
    </row>
    <row r="90" spans="1:7" ht="33.75" customHeight="1" x14ac:dyDescent="0.3">
      <c r="A90" s="6">
        <v>7</v>
      </c>
      <c r="B90" s="6" t="s">
        <v>148</v>
      </c>
      <c r="C90" s="7" t="s">
        <v>43</v>
      </c>
      <c r="D90" s="8" t="s">
        <v>149</v>
      </c>
      <c r="E90" s="8" t="s">
        <v>150</v>
      </c>
      <c r="F90" s="8"/>
      <c r="G90" s="8"/>
    </row>
    <row r="91" spans="1:7" ht="33.75" customHeight="1" x14ac:dyDescent="0.3">
      <c r="A91" s="6">
        <v>7</v>
      </c>
      <c r="B91" s="6" t="s">
        <v>148</v>
      </c>
      <c r="C91" s="10" t="s">
        <v>264</v>
      </c>
      <c r="D91" s="8" t="s">
        <v>101</v>
      </c>
      <c r="E91" s="8" t="s">
        <v>151</v>
      </c>
      <c r="F91" s="8"/>
      <c r="G91" s="8"/>
    </row>
    <row r="92" spans="1:7" ht="33.75" customHeight="1" x14ac:dyDescent="0.3">
      <c r="A92" s="6">
        <v>7</v>
      </c>
      <c r="B92" s="6" t="s">
        <v>148</v>
      </c>
      <c r="C92" s="11" t="s">
        <v>265</v>
      </c>
      <c r="D92" s="8" t="s">
        <v>51</v>
      </c>
      <c r="E92" s="8" t="s">
        <v>152</v>
      </c>
      <c r="F92" s="8"/>
      <c r="G92" s="8"/>
    </row>
    <row r="93" spans="1:7" ht="33.75" customHeight="1" x14ac:dyDescent="0.3">
      <c r="A93" s="6">
        <v>7</v>
      </c>
      <c r="B93" s="6" t="s">
        <v>148</v>
      </c>
      <c r="C93" s="12" t="s">
        <v>266</v>
      </c>
      <c r="D93" s="8" t="s">
        <v>57</v>
      </c>
      <c r="E93" s="8" t="s">
        <v>153</v>
      </c>
      <c r="F93" s="8"/>
      <c r="G93" s="8"/>
    </row>
    <row r="94" spans="1:7" ht="33.75" customHeight="1" x14ac:dyDescent="0.3">
      <c r="A94" s="6">
        <v>7</v>
      </c>
      <c r="B94" s="6" t="s">
        <v>148</v>
      </c>
      <c r="C94" s="13" t="s">
        <v>267</v>
      </c>
      <c r="D94" s="8" t="s">
        <v>61</v>
      </c>
      <c r="E94" s="8" t="s">
        <v>154</v>
      </c>
      <c r="F94" s="8"/>
      <c r="G94" s="8"/>
    </row>
    <row r="95" spans="1:7" ht="33.75" customHeight="1" x14ac:dyDescent="0.3">
      <c r="A95" s="6">
        <v>7</v>
      </c>
      <c r="B95" s="6" t="s">
        <v>148</v>
      </c>
      <c r="C95" s="9" t="s">
        <v>268</v>
      </c>
      <c r="D95" s="8" t="s">
        <v>146</v>
      </c>
      <c r="E95" s="8" t="s">
        <v>155</v>
      </c>
      <c r="F95" s="8"/>
      <c r="G95" s="8"/>
    </row>
    <row r="96" spans="1:7" ht="33.75" customHeight="1" x14ac:dyDescent="0.3">
      <c r="A96" s="6">
        <v>7</v>
      </c>
      <c r="B96" s="6" t="s">
        <v>148</v>
      </c>
      <c r="C96" s="9" t="s">
        <v>268</v>
      </c>
      <c r="D96" s="8" t="s">
        <v>146</v>
      </c>
      <c r="E96" s="8" t="s">
        <v>156</v>
      </c>
      <c r="F96" s="8"/>
      <c r="G96" s="8"/>
    </row>
    <row r="97" spans="1:7" ht="33.75" customHeight="1" x14ac:dyDescent="0.3">
      <c r="A97" s="6">
        <v>8</v>
      </c>
      <c r="B97" s="6" t="s">
        <v>157</v>
      </c>
      <c r="C97" s="7" t="s">
        <v>43</v>
      </c>
      <c r="D97" s="8" t="s">
        <v>158</v>
      </c>
      <c r="E97" s="8" t="s">
        <v>159</v>
      </c>
      <c r="F97" s="8"/>
      <c r="G97" s="8"/>
    </row>
    <row r="98" spans="1:7" ht="33.75" customHeight="1" x14ac:dyDescent="0.3">
      <c r="A98" s="6">
        <v>8</v>
      </c>
      <c r="B98" s="6" t="s">
        <v>157</v>
      </c>
      <c r="C98" s="10" t="s">
        <v>264</v>
      </c>
      <c r="D98" s="8" t="s">
        <v>101</v>
      </c>
      <c r="E98" s="8" t="s">
        <v>160</v>
      </c>
      <c r="F98" s="8"/>
      <c r="G98" s="8"/>
    </row>
    <row r="99" spans="1:7" ht="33.75" customHeight="1" x14ac:dyDescent="0.3">
      <c r="A99" s="6">
        <v>8</v>
      </c>
      <c r="B99" s="6" t="s">
        <v>157</v>
      </c>
      <c r="C99" s="11" t="s">
        <v>265</v>
      </c>
      <c r="D99" s="8" t="s">
        <v>51</v>
      </c>
      <c r="E99" s="8" t="s">
        <v>161</v>
      </c>
      <c r="F99" s="8"/>
      <c r="G99" s="8"/>
    </row>
    <row r="100" spans="1:7" ht="33.75" customHeight="1" x14ac:dyDescent="0.3">
      <c r="A100" s="6">
        <v>8</v>
      </c>
      <c r="B100" s="6" t="s">
        <v>157</v>
      </c>
      <c r="C100" s="12" t="s">
        <v>266</v>
      </c>
      <c r="D100" s="8" t="s">
        <v>57</v>
      </c>
      <c r="E100" s="8" t="s">
        <v>162</v>
      </c>
      <c r="F100" s="8"/>
      <c r="G100" s="8"/>
    </row>
    <row r="101" spans="1:7" ht="33.75" customHeight="1" x14ac:dyDescent="0.3">
      <c r="A101" s="6">
        <v>8</v>
      </c>
      <c r="B101" s="6" t="s">
        <v>157</v>
      </c>
      <c r="C101" s="13" t="s">
        <v>267</v>
      </c>
      <c r="D101" s="8" t="s">
        <v>61</v>
      </c>
      <c r="E101" s="8" t="s">
        <v>163</v>
      </c>
      <c r="F101" s="8"/>
      <c r="G101" s="8"/>
    </row>
    <row r="102" spans="1:7" ht="33.75" customHeight="1" x14ac:dyDescent="0.3">
      <c r="A102" s="6">
        <v>8</v>
      </c>
      <c r="B102" s="6" t="s">
        <v>157</v>
      </c>
      <c r="C102" s="9" t="s">
        <v>268</v>
      </c>
      <c r="D102" s="8" t="s">
        <v>79</v>
      </c>
      <c r="E102" s="8" t="s">
        <v>164</v>
      </c>
      <c r="F102" s="8"/>
      <c r="G102" s="8"/>
    </row>
    <row r="103" spans="1:7" ht="33.75" customHeight="1" x14ac:dyDescent="0.3">
      <c r="A103" s="6">
        <v>8</v>
      </c>
      <c r="B103" s="6" t="s">
        <v>157</v>
      </c>
      <c r="C103" s="9" t="s">
        <v>268</v>
      </c>
      <c r="D103" s="8" t="s">
        <v>114</v>
      </c>
      <c r="E103" s="8" t="s">
        <v>165</v>
      </c>
      <c r="F103" s="8"/>
      <c r="G103" s="8"/>
    </row>
    <row r="104" spans="1:7" ht="33.75" customHeight="1" x14ac:dyDescent="0.3">
      <c r="A104" s="6">
        <v>8</v>
      </c>
      <c r="B104" s="6" t="s">
        <v>157</v>
      </c>
      <c r="C104" s="7" t="s">
        <v>43</v>
      </c>
      <c r="D104" s="8" t="s">
        <v>166</v>
      </c>
      <c r="E104" s="8" t="s">
        <v>167</v>
      </c>
      <c r="F104" s="8"/>
      <c r="G104" s="8"/>
    </row>
    <row r="105" spans="1:7" ht="33.75" customHeight="1" x14ac:dyDescent="0.3">
      <c r="A105" s="6">
        <v>9</v>
      </c>
      <c r="B105" s="6" t="s">
        <v>168</v>
      </c>
      <c r="C105" s="7" t="s">
        <v>43</v>
      </c>
      <c r="D105" s="8" t="s">
        <v>149</v>
      </c>
      <c r="E105" s="8" t="s">
        <v>169</v>
      </c>
      <c r="F105" s="8"/>
      <c r="G105" s="8"/>
    </row>
    <row r="106" spans="1:7" ht="33.75" customHeight="1" x14ac:dyDescent="0.3">
      <c r="A106" s="6">
        <v>10</v>
      </c>
      <c r="B106" s="6" t="s">
        <v>170</v>
      </c>
      <c r="C106" s="9" t="s">
        <v>268</v>
      </c>
      <c r="D106" s="8" t="s">
        <v>79</v>
      </c>
      <c r="E106" s="8" t="s">
        <v>171</v>
      </c>
      <c r="F106" s="8"/>
      <c r="G106" s="8"/>
    </row>
    <row r="107" spans="1:7" ht="33.75" customHeight="1" x14ac:dyDescent="0.3">
      <c r="A107" s="6">
        <v>11</v>
      </c>
      <c r="B107" s="6" t="s">
        <v>172</v>
      </c>
      <c r="C107" s="9" t="s">
        <v>268</v>
      </c>
      <c r="D107" s="8" t="s">
        <v>173</v>
      </c>
      <c r="E107" s="8" t="s">
        <v>174</v>
      </c>
      <c r="F107" s="8"/>
      <c r="G107" s="8"/>
    </row>
    <row r="108" spans="1:7" ht="33.75" customHeight="1" x14ac:dyDescent="0.3">
      <c r="A108" s="6">
        <v>11</v>
      </c>
      <c r="B108" s="6" t="s">
        <v>172</v>
      </c>
      <c r="C108" s="9" t="s">
        <v>268</v>
      </c>
      <c r="D108" s="8" t="s">
        <v>173</v>
      </c>
      <c r="E108" s="8" t="s">
        <v>175</v>
      </c>
      <c r="F108" s="8"/>
      <c r="G108" s="8"/>
    </row>
    <row r="109" spans="1:7" ht="33.75" customHeight="1" x14ac:dyDescent="0.3">
      <c r="A109" s="6">
        <v>12</v>
      </c>
      <c r="B109" s="6" t="s">
        <v>176</v>
      </c>
      <c r="C109" s="7" t="s">
        <v>43</v>
      </c>
      <c r="D109" s="8" t="s">
        <v>166</v>
      </c>
      <c r="E109" s="8" t="s">
        <v>177</v>
      </c>
      <c r="F109" s="8"/>
      <c r="G109" s="8"/>
    </row>
    <row r="110" spans="1:7" ht="33.75" customHeight="1" x14ac:dyDescent="0.3">
      <c r="A110" s="6">
        <v>13</v>
      </c>
      <c r="B110" s="6" t="s">
        <v>178</v>
      </c>
      <c r="C110" s="7" t="s">
        <v>43</v>
      </c>
      <c r="D110" s="8" t="s">
        <v>173</v>
      </c>
      <c r="E110" s="8" t="s">
        <v>179</v>
      </c>
      <c r="F110" s="8"/>
      <c r="G110" s="8"/>
    </row>
    <row r="111" spans="1:7" ht="33.75" customHeight="1" x14ac:dyDescent="0.3">
      <c r="A111" s="6">
        <v>13</v>
      </c>
      <c r="B111" s="6" t="s">
        <v>178</v>
      </c>
      <c r="C111" s="7" t="s">
        <v>43</v>
      </c>
      <c r="D111" s="8" t="s">
        <v>146</v>
      </c>
      <c r="E111" s="8" t="s">
        <v>180</v>
      </c>
      <c r="F111" s="8"/>
      <c r="G111" s="8"/>
    </row>
  </sheetData>
  <conditionalFormatting sqref="F2:F111">
    <cfRule type="cellIs" dxfId="1" priority="2" operator="equal">
      <formula>"Done"</formula>
    </cfRule>
  </conditionalFormatting>
  <dataValidations count="1">
    <dataValidation type="list" allowBlank="1" sqref="F2:F111" xr:uid="{00000000-0002-0000-0100-000000000000}">
      <formula1>"Done,In Progress,Blocked,Not Started"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zoomScale="156" zoomScaleNormal="100" workbookViewId="0">
      <selection activeCell="B14" sqref="B14"/>
    </sheetView>
  </sheetViews>
  <sheetFormatPr defaultColWidth="8.6640625" defaultRowHeight="14.4" x14ac:dyDescent="0.3"/>
  <cols>
    <col min="1" max="1" width="10" customWidth="1"/>
    <col min="2" max="2" width="34" customWidth="1"/>
    <col min="3" max="3" width="14" customWidth="1"/>
    <col min="4" max="4" width="12" customWidth="1"/>
    <col min="5" max="5" width="14" customWidth="1"/>
  </cols>
  <sheetData>
    <row r="1" spans="1:5" ht="17.399999999999999" x14ac:dyDescent="0.3">
      <c r="A1" s="39" t="s">
        <v>181</v>
      </c>
      <c r="B1" s="39"/>
      <c r="C1" s="39"/>
      <c r="D1" s="39"/>
      <c r="E1" s="39"/>
    </row>
    <row r="3" spans="1:5" x14ac:dyDescent="0.3">
      <c r="A3" s="5" t="s">
        <v>37</v>
      </c>
      <c r="B3" s="5" t="s">
        <v>182</v>
      </c>
      <c r="C3" s="5" t="s">
        <v>183</v>
      </c>
      <c r="D3" s="5" t="s">
        <v>184</v>
      </c>
      <c r="E3" s="5" t="s">
        <v>185</v>
      </c>
    </row>
    <row r="4" spans="1:5" x14ac:dyDescent="0.3">
      <c r="A4" s="30" t="s">
        <v>264</v>
      </c>
      <c r="B4" s="14" t="s">
        <v>6</v>
      </c>
      <c r="C4" s="14">
        <f>COUNTIF('Daily Tasks'!C:C,"A")</f>
        <v>0</v>
      </c>
      <c r="D4" s="14">
        <f>COUNTIFS('Daily Tasks'!C:C,"A",'Daily Tasks'!F:F,"Done")</f>
        <v>0</v>
      </c>
      <c r="E4" s="15">
        <f t="shared" ref="E4:E10" si="0">IFERROR(D4/C4,0)</f>
        <v>0</v>
      </c>
    </row>
    <row r="5" spans="1:5" x14ac:dyDescent="0.3">
      <c r="A5" s="31" t="s">
        <v>265</v>
      </c>
      <c r="B5" s="14" t="s">
        <v>10</v>
      </c>
      <c r="C5" s="14">
        <f>COUNTIF('Daily Tasks'!C:C,"B")</f>
        <v>0</v>
      </c>
      <c r="D5" s="14">
        <f>COUNTIFS('Daily Tasks'!C:C,"B",'Daily Tasks'!F:F,"Done")</f>
        <v>0</v>
      </c>
      <c r="E5" s="15">
        <f t="shared" si="0"/>
        <v>0</v>
      </c>
    </row>
    <row r="6" spans="1:5" x14ac:dyDescent="0.3">
      <c r="A6" s="32" t="s">
        <v>266</v>
      </c>
      <c r="B6" s="14" t="s">
        <v>14</v>
      </c>
      <c r="C6" s="14">
        <f>COUNTIF('Daily Tasks'!C:C,"C")</f>
        <v>0</v>
      </c>
      <c r="D6" s="14">
        <f>COUNTIFS('Daily Tasks'!C:C,"C",'Daily Tasks'!F:F,"Done")</f>
        <v>0</v>
      </c>
      <c r="E6" s="15">
        <f t="shared" si="0"/>
        <v>0</v>
      </c>
    </row>
    <row r="7" spans="1:5" x14ac:dyDescent="0.3">
      <c r="A7" s="33" t="s">
        <v>267</v>
      </c>
      <c r="B7" s="14" t="s">
        <v>18</v>
      </c>
      <c r="C7" s="14">
        <f>COUNTIF('Daily Tasks'!C:C,"D")</f>
        <v>0</v>
      </c>
      <c r="D7" s="14">
        <f>COUNTIFS('Daily Tasks'!C:C,"D",'Daily Tasks'!F:F,"Done")</f>
        <v>0</v>
      </c>
      <c r="E7" s="15">
        <f t="shared" si="0"/>
        <v>0</v>
      </c>
    </row>
    <row r="8" spans="1:5" x14ac:dyDescent="0.3">
      <c r="A8" s="34" t="s">
        <v>268</v>
      </c>
      <c r="B8" s="14" t="s">
        <v>22</v>
      </c>
      <c r="C8" s="14">
        <f>COUNTIF('Daily Tasks'!C:C,"E")</f>
        <v>0</v>
      </c>
      <c r="D8" s="14">
        <f>COUNTIFS('Daily Tasks'!C:C,"E",'Daily Tasks'!F:F,"Done")</f>
        <v>0</v>
      </c>
      <c r="E8" s="15">
        <f t="shared" si="0"/>
        <v>0</v>
      </c>
    </row>
    <row r="9" spans="1:5" x14ac:dyDescent="0.3">
      <c r="A9" s="7" t="s">
        <v>43</v>
      </c>
      <c r="B9" s="14" t="s">
        <v>186</v>
      </c>
      <c r="C9" s="14">
        <f>COUNTIF('Daily Tasks'!C:C,"TEAM")</f>
        <v>8</v>
      </c>
      <c r="D9" s="14">
        <f>COUNTIFS('Daily Tasks'!C:C,"TEAM",'Daily Tasks'!F:F,"Done")</f>
        <v>0</v>
      </c>
      <c r="E9" s="15">
        <f t="shared" si="0"/>
        <v>0</v>
      </c>
    </row>
    <row r="10" spans="1:5" x14ac:dyDescent="0.3">
      <c r="A10" s="16" t="s">
        <v>187</v>
      </c>
      <c r="B10" s="17"/>
      <c r="C10" s="16">
        <f>SUM(C4:C9)</f>
        <v>8</v>
      </c>
      <c r="D10" s="16">
        <f>SUM(D4:D9)</f>
        <v>0</v>
      </c>
      <c r="E10" s="18">
        <f t="shared" si="0"/>
        <v>0</v>
      </c>
    </row>
    <row r="12" spans="1:5" ht="17.399999999999999" x14ac:dyDescent="0.3">
      <c r="A12" s="39" t="s">
        <v>188</v>
      </c>
      <c r="B12" s="39"/>
      <c r="C12" s="39"/>
      <c r="D12" s="39"/>
      <c r="E12" s="39"/>
    </row>
    <row r="14" spans="1:5" x14ac:dyDescent="0.3">
      <c r="A14" s="5" t="s">
        <v>35</v>
      </c>
      <c r="B14" s="5" t="s">
        <v>36</v>
      </c>
      <c r="C14" s="5" t="s">
        <v>189</v>
      </c>
      <c r="D14" s="5" t="s">
        <v>184</v>
      </c>
      <c r="E14" s="5" t="s">
        <v>185</v>
      </c>
    </row>
    <row r="15" spans="1:5" x14ac:dyDescent="0.3">
      <c r="A15" s="19">
        <v>1</v>
      </c>
      <c r="B15" s="6" t="s">
        <v>42</v>
      </c>
      <c r="C15" s="14">
        <f>COUNTIF('Daily Tasks'!A:A,1)</f>
        <v>15</v>
      </c>
      <c r="D15" s="14">
        <f>COUNTIFS('Daily Tasks'!A:A,1,'Daily Tasks'!F:F,"Done")</f>
        <v>2</v>
      </c>
      <c r="E15" s="15">
        <f t="shared" ref="E15:E27" si="1">IFERROR(D15/C15,0)</f>
        <v>0.13333333333333333</v>
      </c>
    </row>
    <row r="16" spans="1:5" x14ac:dyDescent="0.3">
      <c r="A16" s="19">
        <v>2</v>
      </c>
      <c r="B16" s="6" t="s">
        <v>65</v>
      </c>
      <c r="C16" s="14">
        <f>COUNTIF('Daily Tasks'!A:A,2)</f>
        <v>15</v>
      </c>
      <c r="D16" s="14">
        <f>COUNTIFS('Daily Tasks'!A:A,2,'Daily Tasks'!F:F,"Done")</f>
        <v>4</v>
      </c>
      <c r="E16" s="15">
        <f t="shared" si="1"/>
        <v>0.26666666666666666</v>
      </c>
    </row>
    <row r="17" spans="1:5" x14ac:dyDescent="0.3">
      <c r="A17" s="19">
        <v>3</v>
      </c>
      <c r="B17" s="6" t="s">
        <v>82</v>
      </c>
      <c r="C17" s="14">
        <f>COUNTIF('Daily Tasks'!A:A,3)</f>
        <v>17</v>
      </c>
      <c r="D17" s="14">
        <f>COUNTIFS('Daily Tasks'!A:A,3,'Daily Tasks'!F:F,"Done")</f>
        <v>3</v>
      </c>
      <c r="E17" s="15">
        <f t="shared" si="1"/>
        <v>0.17647058823529413</v>
      </c>
    </row>
    <row r="18" spans="1:5" x14ac:dyDescent="0.3">
      <c r="A18" s="19">
        <v>4</v>
      </c>
      <c r="B18" s="6" t="s">
        <v>100</v>
      </c>
      <c r="C18" s="14">
        <f>COUNTIF('Daily Tasks'!A:A,4)</f>
        <v>13</v>
      </c>
      <c r="D18" s="14">
        <f>COUNTIFS('Daily Tasks'!A:A,4,'Daily Tasks'!F:F,"Done")</f>
        <v>0</v>
      </c>
      <c r="E18" s="15">
        <f t="shared" si="1"/>
        <v>0</v>
      </c>
    </row>
    <row r="19" spans="1:5" x14ac:dyDescent="0.3">
      <c r="A19" s="19">
        <v>5</v>
      </c>
      <c r="B19" s="6" t="s">
        <v>116</v>
      </c>
      <c r="C19" s="14">
        <f>COUNTIF('Daily Tasks'!A:A,5)</f>
        <v>17</v>
      </c>
      <c r="D19" s="14">
        <f>COUNTIFS('Daily Tasks'!A:A,5,'Daily Tasks'!F:F,"Done")</f>
        <v>0</v>
      </c>
      <c r="E19" s="15">
        <f t="shared" si="1"/>
        <v>0</v>
      </c>
    </row>
    <row r="20" spans="1:5" x14ac:dyDescent="0.3">
      <c r="A20" s="19">
        <v>6</v>
      </c>
      <c r="B20" s="6" t="s">
        <v>134</v>
      </c>
      <c r="C20" s="14">
        <f>COUNTIF('Daily Tasks'!A:A,6)</f>
        <v>11</v>
      </c>
      <c r="D20" s="14">
        <f>COUNTIFS('Daily Tasks'!A:A,6,'Daily Tasks'!F:F,"Done")</f>
        <v>0</v>
      </c>
      <c r="E20" s="15">
        <f t="shared" si="1"/>
        <v>0</v>
      </c>
    </row>
    <row r="21" spans="1:5" x14ac:dyDescent="0.3">
      <c r="A21" s="19">
        <v>7</v>
      </c>
      <c r="B21" s="6" t="s">
        <v>148</v>
      </c>
      <c r="C21" s="14">
        <f>COUNTIF('Daily Tasks'!A:A,7)</f>
        <v>7</v>
      </c>
      <c r="D21" s="14">
        <f>COUNTIFS('Daily Tasks'!A:A,7,'Daily Tasks'!F:F,"Done")</f>
        <v>0</v>
      </c>
      <c r="E21" s="15">
        <f t="shared" si="1"/>
        <v>0</v>
      </c>
    </row>
    <row r="22" spans="1:5" x14ac:dyDescent="0.3">
      <c r="A22" s="19">
        <v>8</v>
      </c>
      <c r="B22" s="6" t="s">
        <v>157</v>
      </c>
      <c r="C22" s="14">
        <f>COUNTIF('Daily Tasks'!A:A,8)</f>
        <v>8</v>
      </c>
      <c r="D22" s="14">
        <f>COUNTIFS('Daily Tasks'!A:A,8,'Daily Tasks'!F:F,"Done")</f>
        <v>0</v>
      </c>
      <c r="E22" s="15">
        <f t="shared" si="1"/>
        <v>0</v>
      </c>
    </row>
    <row r="23" spans="1:5" x14ac:dyDescent="0.3">
      <c r="A23" s="19">
        <v>9</v>
      </c>
      <c r="B23" s="6" t="s">
        <v>168</v>
      </c>
      <c r="C23" s="14">
        <f>COUNTIF('Daily Tasks'!A:A,9)</f>
        <v>1</v>
      </c>
      <c r="D23" s="14">
        <f>COUNTIFS('Daily Tasks'!A:A,9,'Daily Tasks'!F:F,"Done")</f>
        <v>0</v>
      </c>
      <c r="E23" s="15">
        <f t="shared" si="1"/>
        <v>0</v>
      </c>
    </row>
    <row r="24" spans="1:5" x14ac:dyDescent="0.3">
      <c r="A24" s="19">
        <v>10</v>
      </c>
      <c r="B24" s="6" t="s">
        <v>170</v>
      </c>
      <c r="C24" s="14">
        <f>COUNTIF('Daily Tasks'!A:A,10)</f>
        <v>1</v>
      </c>
      <c r="D24" s="14">
        <f>COUNTIFS('Daily Tasks'!A:A,10,'Daily Tasks'!F:F,"Done")</f>
        <v>0</v>
      </c>
      <c r="E24" s="15">
        <f t="shared" si="1"/>
        <v>0</v>
      </c>
    </row>
    <row r="25" spans="1:5" x14ac:dyDescent="0.3">
      <c r="A25" s="19">
        <v>11</v>
      </c>
      <c r="B25" s="6" t="s">
        <v>172</v>
      </c>
      <c r="C25" s="14">
        <f>COUNTIF('Daily Tasks'!A:A,11)</f>
        <v>2</v>
      </c>
      <c r="D25" s="14">
        <f>COUNTIFS('Daily Tasks'!A:A,11,'Daily Tasks'!F:F,"Done")</f>
        <v>0</v>
      </c>
      <c r="E25" s="15">
        <f t="shared" si="1"/>
        <v>0</v>
      </c>
    </row>
    <row r="26" spans="1:5" x14ac:dyDescent="0.3">
      <c r="A26" s="19">
        <v>12</v>
      </c>
      <c r="B26" s="6" t="s">
        <v>176</v>
      </c>
      <c r="C26" s="14">
        <f>COUNTIF('Daily Tasks'!A:A,12)</f>
        <v>1</v>
      </c>
      <c r="D26" s="14">
        <f>COUNTIFS('Daily Tasks'!A:A,12,'Daily Tasks'!F:F,"Done")</f>
        <v>0</v>
      </c>
      <c r="E26" s="15">
        <f t="shared" si="1"/>
        <v>0</v>
      </c>
    </row>
    <row r="27" spans="1:5" x14ac:dyDescent="0.3">
      <c r="A27" s="19">
        <v>13</v>
      </c>
      <c r="B27" s="6" t="s">
        <v>178</v>
      </c>
      <c r="C27" s="14">
        <f>COUNTIF('Daily Tasks'!A:A,13)</f>
        <v>2</v>
      </c>
      <c r="D27" s="14">
        <f>COUNTIFS('Daily Tasks'!A:A,13,'Daily Tasks'!F:F,"Done")</f>
        <v>0</v>
      </c>
      <c r="E27" s="15">
        <f t="shared" si="1"/>
        <v>0</v>
      </c>
    </row>
  </sheetData>
  <mergeCells count="2">
    <mergeCell ref="A1:E1"/>
    <mergeCell ref="A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zoomScaleNormal="100" workbookViewId="0">
      <pane ySplit="4" topLeftCell="A5" activePane="bottomLeft" state="frozen"/>
      <selection pane="bottomLeft" activeCell="C3" sqref="C1:C1048576"/>
    </sheetView>
  </sheetViews>
  <sheetFormatPr defaultColWidth="8.6640625" defaultRowHeight="14.4" x14ac:dyDescent="0.3"/>
  <cols>
    <col min="1" max="1" width="22" customWidth="1"/>
    <col min="2" max="2" width="70" customWidth="1"/>
    <col min="3" max="4" width="14" customWidth="1"/>
  </cols>
  <sheetData>
    <row r="1" spans="1:4" ht="17.399999999999999" x14ac:dyDescent="0.3">
      <c r="A1" s="39" t="s">
        <v>190</v>
      </c>
      <c r="B1" s="39"/>
      <c r="C1" s="39"/>
      <c r="D1" s="39"/>
    </row>
    <row r="2" spans="1:4" x14ac:dyDescent="0.3">
      <c r="A2" s="40" t="s">
        <v>191</v>
      </c>
      <c r="B2" s="40"/>
      <c r="C2" s="40"/>
      <c r="D2" s="40"/>
    </row>
    <row r="4" spans="1:4" x14ac:dyDescent="0.3">
      <c r="A4" s="5" t="s">
        <v>192</v>
      </c>
      <c r="B4" s="5" t="s">
        <v>193</v>
      </c>
      <c r="C4" s="5" t="s">
        <v>194</v>
      </c>
      <c r="D4" s="5" t="s">
        <v>40</v>
      </c>
    </row>
    <row r="5" spans="1:4" ht="21.75" customHeight="1" x14ac:dyDescent="0.3">
      <c r="A5" s="20" t="s">
        <v>195</v>
      </c>
      <c r="B5" s="8" t="s">
        <v>196</v>
      </c>
      <c r="C5" s="10" t="s">
        <v>264</v>
      </c>
      <c r="D5" s="21"/>
    </row>
    <row r="6" spans="1:4" ht="21.75" customHeight="1" x14ac:dyDescent="0.3">
      <c r="A6" s="20" t="s">
        <v>195</v>
      </c>
      <c r="B6" s="8" t="s">
        <v>197</v>
      </c>
      <c r="C6" s="11" t="s">
        <v>265</v>
      </c>
      <c r="D6" s="21"/>
    </row>
    <row r="7" spans="1:4" ht="21.75" customHeight="1" x14ac:dyDescent="0.3">
      <c r="A7" s="20" t="s">
        <v>195</v>
      </c>
      <c r="B7" s="8" t="s">
        <v>198</v>
      </c>
      <c r="C7" s="12" t="s">
        <v>266</v>
      </c>
      <c r="D7" s="21"/>
    </row>
    <row r="8" spans="1:4" ht="21.75" customHeight="1" x14ac:dyDescent="0.3">
      <c r="A8" s="20" t="s">
        <v>195</v>
      </c>
      <c r="B8" s="8" t="s">
        <v>199</v>
      </c>
      <c r="C8" s="12" t="s">
        <v>266</v>
      </c>
      <c r="D8" s="21"/>
    </row>
    <row r="9" spans="1:4" ht="21.75" customHeight="1" x14ac:dyDescent="0.3">
      <c r="A9" s="20" t="s">
        <v>195</v>
      </c>
      <c r="B9" s="8" t="s">
        <v>200</v>
      </c>
      <c r="C9" s="13" t="s">
        <v>267</v>
      </c>
      <c r="D9" s="21"/>
    </row>
    <row r="10" spans="1:4" ht="21.75" customHeight="1" x14ac:dyDescent="0.3">
      <c r="A10" s="20" t="s">
        <v>195</v>
      </c>
      <c r="B10" s="8" t="s">
        <v>201</v>
      </c>
      <c r="C10" s="13" t="s">
        <v>267</v>
      </c>
      <c r="D10" s="21"/>
    </row>
    <row r="11" spans="1:4" ht="21.75" customHeight="1" x14ac:dyDescent="0.3">
      <c r="A11" s="20" t="s">
        <v>195</v>
      </c>
      <c r="B11" s="8" t="s">
        <v>202</v>
      </c>
      <c r="C11" s="10" t="s">
        <v>264</v>
      </c>
      <c r="D11" s="21"/>
    </row>
    <row r="12" spans="1:4" ht="21.75" customHeight="1" x14ac:dyDescent="0.3">
      <c r="A12" s="20" t="s">
        <v>195</v>
      </c>
      <c r="B12" s="8" t="s">
        <v>203</v>
      </c>
      <c r="C12" s="13" t="s">
        <v>267</v>
      </c>
      <c r="D12" s="21"/>
    </row>
    <row r="13" spans="1:4" ht="21.75" customHeight="1" x14ac:dyDescent="0.3">
      <c r="A13" s="20" t="s">
        <v>204</v>
      </c>
      <c r="B13" s="8" t="s">
        <v>205</v>
      </c>
      <c r="C13" s="10" t="s">
        <v>264</v>
      </c>
      <c r="D13" s="21"/>
    </row>
    <row r="14" spans="1:4" ht="21.75" customHeight="1" x14ac:dyDescent="0.3">
      <c r="A14" s="20" t="s">
        <v>204</v>
      </c>
      <c r="B14" s="8" t="s">
        <v>206</v>
      </c>
      <c r="C14" s="10" t="s">
        <v>264</v>
      </c>
      <c r="D14" s="21"/>
    </row>
    <row r="15" spans="1:4" ht="21.75" customHeight="1" x14ac:dyDescent="0.3">
      <c r="A15" s="20" t="s">
        <v>204</v>
      </c>
      <c r="B15" s="8" t="s">
        <v>207</v>
      </c>
      <c r="C15" s="10" t="s">
        <v>264</v>
      </c>
      <c r="D15" s="21"/>
    </row>
    <row r="16" spans="1:4" ht="21.75" customHeight="1" x14ac:dyDescent="0.3">
      <c r="A16" s="20" t="s">
        <v>204</v>
      </c>
      <c r="B16" s="8" t="s">
        <v>208</v>
      </c>
      <c r="C16" s="10" t="s">
        <v>264</v>
      </c>
      <c r="D16" s="21"/>
    </row>
    <row r="17" spans="1:4" ht="21.75" customHeight="1" x14ac:dyDescent="0.3">
      <c r="A17" s="20" t="s">
        <v>209</v>
      </c>
      <c r="B17" s="8" t="s">
        <v>210</v>
      </c>
      <c r="C17" s="11" t="s">
        <v>265</v>
      </c>
      <c r="D17" s="21"/>
    </row>
    <row r="18" spans="1:4" ht="21.75" customHeight="1" x14ac:dyDescent="0.3">
      <c r="A18" s="20" t="s">
        <v>209</v>
      </c>
      <c r="B18" s="8" t="s">
        <v>211</v>
      </c>
      <c r="C18" s="11" t="s">
        <v>265</v>
      </c>
      <c r="D18" s="21"/>
    </row>
    <row r="19" spans="1:4" ht="21.75" customHeight="1" x14ac:dyDescent="0.3">
      <c r="A19" s="20" t="s">
        <v>209</v>
      </c>
      <c r="B19" s="8" t="s">
        <v>212</v>
      </c>
      <c r="C19" s="11" t="s">
        <v>265</v>
      </c>
      <c r="D19" s="21"/>
    </row>
    <row r="20" spans="1:4" ht="21.75" customHeight="1" x14ac:dyDescent="0.3">
      <c r="A20" s="20" t="s">
        <v>209</v>
      </c>
      <c r="B20" s="8" t="s">
        <v>213</v>
      </c>
      <c r="C20" s="11" t="s">
        <v>265</v>
      </c>
      <c r="D20" s="21"/>
    </row>
    <row r="21" spans="1:4" ht="21.75" customHeight="1" x14ac:dyDescent="0.3">
      <c r="A21" s="20" t="s">
        <v>214</v>
      </c>
      <c r="B21" s="8" t="s">
        <v>215</v>
      </c>
      <c r="C21" s="12" t="s">
        <v>266</v>
      </c>
      <c r="D21" s="21"/>
    </row>
    <row r="22" spans="1:4" ht="21.75" customHeight="1" x14ac:dyDescent="0.3">
      <c r="A22" s="20" t="s">
        <v>214</v>
      </c>
      <c r="B22" s="8" t="s">
        <v>216</v>
      </c>
      <c r="C22" s="12" t="s">
        <v>266</v>
      </c>
      <c r="D22" s="21"/>
    </row>
    <row r="23" spans="1:4" ht="21.75" customHeight="1" x14ac:dyDescent="0.3">
      <c r="A23" s="20" t="s">
        <v>214</v>
      </c>
      <c r="B23" s="8" t="s">
        <v>217</v>
      </c>
      <c r="C23" s="12" t="s">
        <v>266</v>
      </c>
      <c r="D23" s="21"/>
    </row>
    <row r="24" spans="1:4" ht="21.75" customHeight="1" x14ac:dyDescent="0.3">
      <c r="A24" s="20" t="s">
        <v>214</v>
      </c>
      <c r="B24" s="8" t="s">
        <v>218</v>
      </c>
      <c r="C24" s="12" t="s">
        <v>266</v>
      </c>
      <c r="D24" s="21"/>
    </row>
    <row r="25" spans="1:4" ht="21.75" customHeight="1" x14ac:dyDescent="0.3">
      <c r="A25" s="20" t="s">
        <v>214</v>
      </c>
      <c r="B25" s="8" t="s">
        <v>219</v>
      </c>
      <c r="C25" s="12" t="s">
        <v>266</v>
      </c>
      <c r="D25" s="21"/>
    </row>
    <row r="26" spans="1:4" ht="21.75" customHeight="1" x14ac:dyDescent="0.3">
      <c r="A26" s="20" t="s">
        <v>220</v>
      </c>
      <c r="B26" s="8" t="s">
        <v>221</v>
      </c>
      <c r="C26" s="13" t="s">
        <v>267</v>
      </c>
      <c r="D26" s="21"/>
    </row>
    <row r="27" spans="1:4" ht="21.75" customHeight="1" x14ac:dyDescent="0.3">
      <c r="A27" s="20" t="s">
        <v>220</v>
      </c>
      <c r="B27" s="8" t="s">
        <v>222</v>
      </c>
      <c r="C27" s="13" t="s">
        <v>267</v>
      </c>
      <c r="D27" s="21"/>
    </row>
    <row r="28" spans="1:4" ht="21.75" customHeight="1" x14ac:dyDescent="0.3">
      <c r="A28" s="20" t="s">
        <v>220</v>
      </c>
      <c r="B28" s="8" t="s">
        <v>223</v>
      </c>
      <c r="C28" s="13" t="s">
        <v>267</v>
      </c>
      <c r="D28" s="21"/>
    </row>
    <row r="29" spans="1:4" ht="21.75" customHeight="1" x14ac:dyDescent="0.3">
      <c r="A29" s="20" t="s">
        <v>220</v>
      </c>
      <c r="B29" s="8" t="s">
        <v>224</v>
      </c>
      <c r="C29" s="13" t="s">
        <v>267</v>
      </c>
      <c r="D29" s="21"/>
    </row>
    <row r="30" spans="1:4" ht="21.75" customHeight="1" x14ac:dyDescent="0.3">
      <c r="A30" s="20" t="s">
        <v>220</v>
      </c>
      <c r="B30" s="8" t="s">
        <v>225</v>
      </c>
      <c r="C30" s="13" t="s">
        <v>267</v>
      </c>
      <c r="D30" s="21"/>
    </row>
    <row r="31" spans="1:4" ht="21.75" customHeight="1" x14ac:dyDescent="0.3">
      <c r="A31" s="20" t="s">
        <v>226</v>
      </c>
      <c r="B31" s="8" t="s">
        <v>227</v>
      </c>
      <c r="C31" s="7" t="s">
        <v>43</v>
      </c>
      <c r="D31" s="21"/>
    </row>
    <row r="32" spans="1:4" ht="21.75" customHeight="1" x14ac:dyDescent="0.3">
      <c r="A32" s="20" t="s">
        <v>226</v>
      </c>
      <c r="B32" s="8" t="s">
        <v>228</v>
      </c>
      <c r="C32" s="10" t="s">
        <v>264</v>
      </c>
      <c r="D32" s="21"/>
    </row>
    <row r="33" spans="1:4" ht="21.75" customHeight="1" x14ac:dyDescent="0.3">
      <c r="A33" s="20" t="s">
        <v>226</v>
      </c>
      <c r="B33" s="8" t="s">
        <v>229</v>
      </c>
      <c r="C33" s="10" t="s">
        <v>264</v>
      </c>
      <c r="D33" s="21"/>
    </row>
    <row r="34" spans="1:4" ht="21.75" customHeight="1" x14ac:dyDescent="0.3">
      <c r="A34" s="20" t="s">
        <v>230</v>
      </c>
      <c r="B34" s="8" t="s">
        <v>231</v>
      </c>
      <c r="C34" s="9" t="s">
        <v>268</v>
      </c>
      <c r="D34" s="21"/>
    </row>
    <row r="35" spans="1:4" ht="21.75" customHeight="1" x14ac:dyDescent="0.3">
      <c r="A35" s="20" t="s">
        <v>230</v>
      </c>
      <c r="B35" s="8" t="s">
        <v>232</v>
      </c>
      <c r="C35" s="9" t="s">
        <v>268</v>
      </c>
      <c r="D35" s="21"/>
    </row>
    <row r="36" spans="1:4" ht="21.75" customHeight="1" x14ac:dyDescent="0.3">
      <c r="A36" s="20" t="s">
        <v>230</v>
      </c>
      <c r="B36" s="8" t="s">
        <v>233</v>
      </c>
      <c r="C36" s="9" t="s">
        <v>268</v>
      </c>
      <c r="D36" s="21"/>
    </row>
    <row r="37" spans="1:4" ht="21.75" customHeight="1" x14ac:dyDescent="0.3">
      <c r="A37" s="20" t="s">
        <v>230</v>
      </c>
      <c r="B37" s="8" t="s">
        <v>234</v>
      </c>
      <c r="C37" s="9" t="s">
        <v>268</v>
      </c>
      <c r="D37" s="21"/>
    </row>
    <row r="38" spans="1:4" ht="21.75" customHeight="1" x14ac:dyDescent="0.3">
      <c r="A38" s="20" t="s">
        <v>230</v>
      </c>
      <c r="B38" s="8" t="s">
        <v>235</v>
      </c>
      <c r="C38" s="9" t="s">
        <v>268</v>
      </c>
      <c r="D38" s="21"/>
    </row>
    <row r="39" spans="1:4" ht="21.75" customHeight="1" x14ac:dyDescent="0.3">
      <c r="A39" s="20" t="s">
        <v>230</v>
      </c>
      <c r="B39" s="8" t="s">
        <v>236</v>
      </c>
      <c r="C39" s="9" t="s">
        <v>268</v>
      </c>
      <c r="D39" s="21"/>
    </row>
    <row r="40" spans="1:4" ht="21.75" customHeight="1" x14ac:dyDescent="0.3">
      <c r="A40" s="20" t="s">
        <v>237</v>
      </c>
      <c r="B40" s="8" t="s">
        <v>238</v>
      </c>
      <c r="C40" s="9" t="s">
        <v>268</v>
      </c>
      <c r="D40" s="21"/>
    </row>
    <row r="41" spans="1:4" ht="21.75" customHeight="1" x14ac:dyDescent="0.3">
      <c r="A41" s="20" t="s">
        <v>237</v>
      </c>
      <c r="B41" s="8" t="s">
        <v>239</v>
      </c>
      <c r="C41" s="9" t="s">
        <v>268</v>
      </c>
      <c r="D41" s="21"/>
    </row>
    <row r="42" spans="1:4" ht="21.75" customHeight="1" x14ac:dyDescent="0.3">
      <c r="A42" s="20" t="s">
        <v>237</v>
      </c>
      <c r="B42" s="8" t="s">
        <v>240</v>
      </c>
      <c r="C42" s="7" t="s">
        <v>43</v>
      </c>
      <c r="D42" s="21"/>
    </row>
    <row r="43" spans="1:4" ht="21.75" customHeight="1" x14ac:dyDescent="0.3">
      <c r="A43" s="20" t="s">
        <v>237</v>
      </c>
      <c r="B43" s="8" t="s">
        <v>241</v>
      </c>
      <c r="C43" s="9" t="s">
        <v>268</v>
      </c>
      <c r="D43" s="21"/>
    </row>
    <row r="44" spans="1:4" ht="21.75" customHeight="1" x14ac:dyDescent="0.3">
      <c r="A44" s="20" t="s">
        <v>237</v>
      </c>
      <c r="B44" s="8" t="s">
        <v>242</v>
      </c>
      <c r="C44" s="9" t="s">
        <v>268</v>
      </c>
      <c r="D44" s="21"/>
    </row>
    <row r="45" spans="1:4" ht="21.75" customHeight="1" x14ac:dyDescent="0.3">
      <c r="A45" s="20" t="s">
        <v>243</v>
      </c>
      <c r="B45" s="8" t="s">
        <v>244</v>
      </c>
      <c r="C45" s="7" t="s">
        <v>43</v>
      </c>
      <c r="D45" s="21"/>
    </row>
    <row r="46" spans="1:4" ht="21.75" customHeight="1" x14ac:dyDescent="0.3">
      <c r="A46" s="20" t="s">
        <v>243</v>
      </c>
      <c r="B46" s="8" t="s">
        <v>245</v>
      </c>
      <c r="C46" s="7" t="s">
        <v>43</v>
      </c>
      <c r="D46" s="21"/>
    </row>
    <row r="47" spans="1:4" ht="21.75" customHeight="1" x14ac:dyDescent="0.3">
      <c r="A47" s="20" t="s">
        <v>243</v>
      </c>
      <c r="B47" s="8" t="s">
        <v>246</v>
      </c>
      <c r="C47" s="10" t="s">
        <v>264</v>
      </c>
      <c r="D47" s="21"/>
    </row>
    <row r="48" spans="1:4" ht="21.75" customHeight="1" x14ac:dyDescent="0.3">
      <c r="A48" s="20" t="s">
        <v>243</v>
      </c>
      <c r="B48" s="8" t="s">
        <v>247</v>
      </c>
      <c r="C48" s="9" t="s">
        <v>268</v>
      </c>
      <c r="D48" s="21"/>
    </row>
    <row r="49" spans="1:4" ht="21.75" customHeight="1" x14ac:dyDescent="0.3">
      <c r="A49" s="20" t="s">
        <v>243</v>
      </c>
      <c r="B49" s="8" t="s">
        <v>248</v>
      </c>
      <c r="C49" s="9" t="s">
        <v>268</v>
      </c>
      <c r="D49" s="21"/>
    </row>
    <row r="50" spans="1:4" ht="21.75" customHeight="1" x14ac:dyDescent="0.3">
      <c r="A50" s="20" t="s">
        <v>249</v>
      </c>
      <c r="B50" s="8" t="s">
        <v>250</v>
      </c>
      <c r="C50" s="9" t="s">
        <v>268</v>
      </c>
      <c r="D50" s="21"/>
    </row>
    <row r="51" spans="1:4" ht="21.75" customHeight="1" x14ac:dyDescent="0.3">
      <c r="A51" s="20" t="s">
        <v>249</v>
      </c>
      <c r="B51" s="8" t="s">
        <v>251</v>
      </c>
      <c r="C51" s="9" t="s">
        <v>268</v>
      </c>
      <c r="D51" s="21"/>
    </row>
    <row r="52" spans="1:4" ht="21.75" customHeight="1" x14ac:dyDescent="0.3">
      <c r="A52" s="20" t="s">
        <v>249</v>
      </c>
      <c r="B52" s="8" t="s">
        <v>252</v>
      </c>
      <c r="C52" s="9" t="s">
        <v>268</v>
      </c>
      <c r="D52" s="21"/>
    </row>
    <row r="53" spans="1:4" ht="21.75" customHeight="1" x14ac:dyDescent="0.3">
      <c r="A53" s="20" t="s">
        <v>249</v>
      </c>
      <c r="B53" s="8" t="s">
        <v>253</v>
      </c>
      <c r="C53" s="10" t="s">
        <v>264</v>
      </c>
      <c r="D53" s="21"/>
    </row>
    <row r="54" spans="1:4" ht="21.75" customHeight="1" x14ac:dyDescent="0.3">
      <c r="A54" s="20" t="s">
        <v>249</v>
      </c>
      <c r="B54" s="8" t="s">
        <v>254</v>
      </c>
      <c r="C54" s="9" t="s">
        <v>268</v>
      </c>
      <c r="D54" s="21"/>
    </row>
    <row r="55" spans="1:4" ht="21.75" customHeight="1" x14ac:dyDescent="0.3">
      <c r="A55" s="20" t="s">
        <v>249</v>
      </c>
      <c r="B55" s="8" t="s">
        <v>255</v>
      </c>
      <c r="C55" s="9" t="s">
        <v>268</v>
      </c>
      <c r="D55" s="21"/>
    </row>
    <row r="56" spans="1:4" ht="21.75" customHeight="1" x14ac:dyDescent="0.3">
      <c r="A56" s="20" t="s">
        <v>256</v>
      </c>
      <c r="B56" s="8" t="s">
        <v>257</v>
      </c>
      <c r="C56" s="7" t="s">
        <v>43</v>
      </c>
      <c r="D56" s="21"/>
    </row>
    <row r="57" spans="1:4" ht="21.75" customHeight="1" x14ac:dyDescent="0.3">
      <c r="A57" s="20" t="s">
        <v>256</v>
      </c>
      <c r="B57" s="8" t="s">
        <v>258</v>
      </c>
      <c r="C57" s="9" t="s">
        <v>268</v>
      </c>
      <c r="D57" s="21"/>
    </row>
    <row r="58" spans="1:4" ht="21.75" customHeight="1" x14ac:dyDescent="0.3">
      <c r="A58" s="20" t="s">
        <v>256</v>
      </c>
      <c r="B58" s="8" t="s">
        <v>259</v>
      </c>
      <c r="C58" s="9" t="s">
        <v>268</v>
      </c>
      <c r="D58" s="21"/>
    </row>
    <row r="59" spans="1:4" ht="21.75" customHeight="1" x14ac:dyDescent="0.3">
      <c r="A59" s="20" t="s">
        <v>256</v>
      </c>
      <c r="B59" s="8" t="s">
        <v>260</v>
      </c>
      <c r="C59" s="9" t="s">
        <v>268</v>
      </c>
      <c r="D59" s="21"/>
    </row>
    <row r="62" spans="1:4" x14ac:dyDescent="0.3">
      <c r="A62" s="2" t="s">
        <v>261</v>
      </c>
      <c r="B62" s="2" t="str">
        <f>COUNTIF(D5:D59,"Verified") &amp; " of 55"</f>
        <v>0 of 55</v>
      </c>
    </row>
    <row r="63" spans="1:4" x14ac:dyDescent="0.3">
      <c r="A63" s="2" t="s">
        <v>262</v>
      </c>
      <c r="B63" s="22">
        <f>COUNTIF(D5:D59,"Verified")/55</f>
        <v>0</v>
      </c>
    </row>
  </sheetData>
  <mergeCells count="2">
    <mergeCell ref="A1:D1"/>
    <mergeCell ref="A2:D2"/>
  </mergeCells>
  <conditionalFormatting sqref="D5:D59">
    <cfRule type="cellIs" dxfId="0" priority="2" operator="equal">
      <formula>"Verified"</formula>
    </cfRule>
  </conditionalFormatting>
  <dataValidations count="1">
    <dataValidation type="list" allowBlank="1" sqref="D5:D59" xr:uid="{00000000-0002-0000-0300-000000000000}">
      <formula1>"Verified,To Verify,Missing"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741bf7de-e2e5-46df-8d67-82607df9deaa}" enabled="0" method="" siteId="{741bf7de-e2e5-46df-8d67-82607df9d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Daily Tasks</vt:lpstr>
      <vt:lpstr>Per-Person Summary</vt:lpstr>
      <vt:lpstr>Rubric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Esteban Rivera</cp:lastModifiedBy>
  <cp:revision>0</cp:revision>
  <dcterms:created xsi:type="dcterms:W3CDTF">2026-04-23T17:47:28Z</dcterms:created>
  <dcterms:modified xsi:type="dcterms:W3CDTF">2026-04-24T17:06:58Z</dcterms:modified>
  <dc:language>en-US</dc:language>
</cp:coreProperties>
</file>